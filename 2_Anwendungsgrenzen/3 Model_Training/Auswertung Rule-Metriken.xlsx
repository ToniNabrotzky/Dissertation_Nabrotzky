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:\2_2 GNN_Modellkonvertierung (Anwendungsrenze)\3 Model_Training\"/>
    </mc:Choice>
  </mc:AlternateContent>
  <xr:revisionPtr revIDLastSave="0" documentId="13_ncr:1_{C1A5387E-E04C-4211-AE55-D18E7CCA76D5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Datensatz" sheetId="1" r:id="rId1"/>
    <sheet name="Protokoll LOO-Train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1" l="1"/>
  <c r="K10" i="1"/>
  <c r="J10" i="1"/>
  <c r="I10" i="1"/>
  <c r="D10" i="1"/>
  <c r="E10" i="1"/>
  <c r="D11" i="1"/>
  <c r="E11" i="1"/>
  <c r="C11" i="1"/>
  <c r="C10" i="1"/>
</calcChain>
</file>

<file path=xl/sharedStrings.xml><?xml version="1.0" encoding="utf-8"?>
<sst xmlns="http://schemas.openxmlformats.org/spreadsheetml/2006/main" count="95" uniqueCount="93">
  <si>
    <t>Accuracy</t>
  </si>
  <si>
    <t>Precision</t>
  </si>
  <si>
    <t>Recall</t>
  </si>
  <si>
    <t>F1</t>
  </si>
  <si>
    <t>Parametrisches Modell Index_00250</t>
  </si>
  <si>
    <t>21_22 L_TWP_Tragwerksmodell</t>
  </si>
  <si>
    <t>23_24 LTWP-V__Dachtragwerk</t>
  </si>
  <si>
    <t>20220421MODEL REV01</t>
  </si>
  <si>
    <t>202102183458-Model</t>
  </si>
  <si>
    <t>Grethes-hus-bok-2</t>
  </si>
  <si>
    <t>--- Starte Fold 1 | Test-Modell: 202102183458-Model Graph.json ---</t>
  </si>
  <si>
    <t>--- Starte Fold 2 | Test-Modell: 20220421MODEL REV01 Graph.json ---</t>
  </si>
  <si>
    <t>--- Starte Fold 3 | Test-Modell: 21_22 L_TWP_Tragwerksmodell Graph.json ---</t>
  </si>
  <si>
    <t>--- Starte Fold 4 | Test-Modell: 23_24 LTWP-V__Dachtragwerk Graph.json ---</t>
  </si>
  <si>
    <t>--- Starte Fold 5 | Test-Modell: Grethes-hus-bok-2 Graph.json ---</t>
  </si>
  <si>
    <t>========================================</t>
  </si>
  <si>
    <t>LOO-KREUZVALIDIERUNG ABSCHLUSS</t>
  </si>
  <si>
    <t>Modellname</t>
  </si>
  <si>
    <t>Bauteile</t>
  </si>
  <si>
    <t>pot. Kanten</t>
  </si>
  <si>
    <t>GT-Kanten</t>
  </si>
  <si>
    <t>Prozent</t>
  </si>
  <si>
    <t>Balken, Säulen, Decken, Wände</t>
  </si>
  <si>
    <t>Balken, Säulen</t>
  </si>
  <si>
    <t>Balken, Säulen (teils mit hoher lokaler Bauteildichte)</t>
  </si>
  <si>
    <t>Balken, Säulen, Wände</t>
  </si>
  <si>
    <t>Säulen, Decken, Wände</t>
  </si>
  <si>
    <t>MIN</t>
  </si>
  <si>
    <t>MAX</t>
  </si>
  <si>
    <t>RB-Metriken</t>
  </si>
  <si>
    <t>TP</t>
  </si>
  <si>
    <t>TN</t>
  </si>
  <si>
    <t>FP</t>
  </si>
  <si>
    <t>FN</t>
  </si>
  <si>
    <t>Accuracy = Genauigkeit</t>
  </si>
  <si>
    <t>Precision = Genauigkeit</t>
  </si>
  <si>
    <t>Recall = Trefferquote/Sensitivität</t>
  </si>
  <si>
    <t>F1-Score = Harmonisches Mittel</t>
  </si>
  <si>
    <t>TP = positziv vorhergesagt, tatsächlich positiv</t>
  </si>
  <si>
    <t>TN = negativ vorhergesagt, tatsächlich negativ</t>
  </si>
  <si>
    <t>FP = psoitiv vorhergesagt, tatsächlich negativ --&gt; Fehlalarm, Überkopplung</t>
  </si>
  <si>
    <t>FN = negativ vorhergesagt, tatsächlich positiv --&gt; Übersehen, Kopplungsdefizit</t>
  </si>
  <si>
    <t>CONFIG:</t>
  </si>
  <si>
    <t>model_type: GINE</t>
  </si>
  <si>
    <t>hidden_dim: 128</t>
  </si>
  <si>
    <t>num_layers: 5</t>
  </si>
  <si>
    <t>activation: ELU</t>
  </si>
  <si>
    <t>dropout: 0.2</t>
  </si>
  <si>
    <t>lr: 0.001</t>
  </si>
  <si>
    <t>epochs: 500</t>
  </si>
  <si>
    <t>edge_dim: 1</t>
  </si>
  <si>
    <t>batch_size: 12</t>
  </si>
  <si>
    <t>threshold: 0.5</t>
  </si>
  <si>
    <t>node_features: origin, centroid, centroid_x, centroid_y, centroid_z, dimensions, norm_dimensions, area, volume, ratio_av, normed_x, normed_y, normed_z, entity_one_hot_idx</t>
  </si>
  <si>
    <t xml:space="preserve">  Epoch 100 | Loss: 0.5612 | Best Val-F1: 0.52</t>
  </si>
  <si>
    <t xml:space="preserve">  Epoch 200 | Loss: 0.5016 | Best Val-F1: 0.54</t>
  </si>
  <si>
    <t xml:space="preserve">  Epoch 300 | Loss: 0.4342 | Best Val-F1: 0.54</t>
  </si>
  <si>
    <t xml:space="preserve">  Epoch 400 | Loss: 0.4157 | Best Val-F1: 0.55</t>
  </si>
  <si>
    <t xml:space="preserve">  Epoch 500 | Loss: 0.3625 | Best Val-F1: 0.55</t>
  </si>
  <si>
    <t>RESULT Fold 1 (Threshold 0.5): Acc: 51.46%, F1: 0.55, Prec: 0.41, Rec: 0.85</t>
  </si>
  <si>
    <t xml:space="preserve">  Epoch 100 | Loss: 0.5213 | Best Val-F1: 0.69</t>
  </si>
  <si>
    <t xml:space="preserve">  Epoch 200 | Loss: 0.4463 | Best Val-F1: 0.69</t>
  </si>
  <si>
    <t xml:space="preserve">  Epoch 300 | Loss: 0.3881 | Best Val-F1: 0.69</t>
  </si>
  <si>
    <t xml:space="preserve">  Epoch 400 | Loss: 0.2890 | Best Val-F1: 0.69</t>
  </si>
  <si>
    <t xml:space="preserve">  Epoch 500 | Loss: 0.2550 | Best Val-F1: 0.69</t>
  </si>
  <si>
    <t>RESULT Fold 2 (Threshold 0.5): Acc: 56.14%, F1: 0.69, Prec: 0.54, Rec: 0.95</t>
  </si>
  <si>
    <t xml:space="preserve">  Epoch 100 | Loss: 0.5386 | Best Val-F1: 0.76</t>
  </si>
  <si>
    <t xml:space="preserve">  Epoch 200 | Loss: 0.4555 | Best Val-F1: 0.76</t>
  </si>
  <si>
    <t xml:space="preserve">  Epoch 300 | Loss: 0.3932 | Best Val-F1: 0.76</t>
  </si>
  <si>
    <t xml:space="preserve">  Epoch 400 | Loss: 0.3390 | Best Val-F1: 0.78</t>
  </si>
  <si>
    <t xml:space="preserve">  Epoch 500 | Loss: 0.2880 | Best Val-F1: 0.78</t>
  </si>
  <si>
    <t>RESULT Fold 3 (Threshold 0.5): Acc: 63.99%, F1: 0.78, Prec: 0.66, Rec: 0.94</t>
  </si>
  <si>
    <t xml:space="preserve">  Epoch 100 | Loss: 0.5792 | Best Val-F1: 0.87</t>
  </si>
  <si>
    <t xml:space="preserve">  Epoch 200 | Loss: 0.5068 | Best Val-F1: 0.87</t>
  </si>
  <si>
    <t xml:space="preserve">  Epoch 300 | Loss: 0.4542 | Best Val-F1: 0.87</t>
  </si>
  <si>
    <t xml:space="preserve">  Epoch 400 | Loss: 0.3951 | Best Val-F1: 0.87</t>
  </si>
  <si>
    <t xml:space="preserve">  Epoch 500 | Loss: 0.3414 | Best Val-F1: 0.87</t>
  </si>
  <si>
    <t>RESULT Fold 4 (Threshold 0.5): Acc: 78.29%, F1: 0.87, Prec: 0.81, Rec: 0.93</t>
  </si>
  <si>
    <t xml:space="preserve">  Epoch 100 | Loss: 0.5665 | Best Val-F1: 0.71</t>
  </si>
  <si>
    <t xml:space="preserve">  Epoch 200 | Loss: 0.5169 | Best Val-F1: 0.71</t>
  </si>
  <si>
    <t xml:space="preserve">  Epoch 300 | Loss: 0.4561 | Best Val-F1: 0.71</t>
  </si>
  <si>
    <t xml:space="preserve">  Epoch 400 | Loss: 0.3987 | Best Val-F1: 0.71</t>
  </si>
  <si>
    <t xml:space="preserve">  Epoch 500 | Loss: 0.3473 | Best Val-F1: 0.71</t>
  </si>
  <si>
    <t>RESULT Fold 5 (Threshold 0.5): Acc: 71.82%, F1: 0.71, Prec: 0.68, Rec: 0.75</t>
  </si>
  <si>
    <t>Anzahl Modelle: 5</t>
  </si>
  <si>
    <t>Durchschnittliche Accuracy:  64.34%</t>
  </si>
  <si>
    <t>Durchschnittlicher F1-Score: 0.72</t>
  </si>
  <si>
    <t>Durchschnittliche Precision: 0.62</t>
  </si>
  <si>
    <t>Durchschnittlicher Recall:    0.88</t>
  </si>
  <si>
    <t>Modelle gespeichert in: h:\2_2 GNN_Modellkonvertierung (Anwendungsrenze)\3 Model_Training\Test_00_DB5_DefaultSettings</t>
  </si>
  <si>
    <t>Lade 5 Graphen in den Speicher...</t>
  </si>
  <si>
    <t>enthält folgende Entitäten:</t>
  </si>
  <si>
    <t>Gesamtwerte: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</si>
</sst>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/>
    </xf>
    <xf numFmtId="9" fontId="0" fillId="0" borderId="0" xfId="1" applyFont="1" applyAlignment="1">
      <alignment vertical="center"/>
    </xf>
    <xf numFmtId="0" fontId="2" fillId="0" borderId="0" xfId="0" applyFont="1" applyAlignment="1">
      <alignment vertical="center"/>
    </xf>
    <xf numFmtId="9" fontId="2" fillId="0" borderId="0" xfId="1" applyFont="1" applyAlignment="1">
      <alignment vertical="center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15"/>
  <sheetViews>
    <sheetView tabSelected="1" workbookViewId="0">
      <selection activeCell="H11" sqref="H11"/>
    </sheetView>
  </sheetViews>
  <sheetFormatPr baseColWidth="10" defaultColWidth="9.140625" defaultRowHeight="15" x14ac:dyDescent="0.25"/>
  <cols>
    <col min="1" max="1" width="9.140625" style="1"/>
    <col min="2" max="2" width="33.28515625" style="1" bestFit="1" customWidth="1"/>
    <col min="3" max="6" width="9.140625" style="1"/>
    <col min="7" max="7" width="32.5703125" style="2" customWidth="1"/>
    <col min="8" max="8" width="13.5703125" style="1" bestFit="1" customWidth="1"/>
    <col min="9" max="16384" width="9.140625" style="1"/>
  </cols>
  <sheetData>
    <row r="2" spans="2:16" x14ac:dyDescent="0.25"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2" t="s">
        <v>91</v>
      </c>
      <c r="H2" s="1" t="s">
        <v>29</v>
      </c>
      <c r="I2" s="1" t="s">
        <v>0</v>
      </c>
      <c r="J2" s="1" t="s">
        <v>1</v>
      </c>
      <c r="K2" s="1" t="s">
        <v>2</v>
      </c>
      <c r="L2" s="1" t="s">
        <v>3</v>
      </c>
      <c r="M2" s="1" t="s">
        <v>30</v>
      </c>
      <c r="N2" s="1" t="s">
        <v>31</v>
      </c>
      <c r="O2" s="1" t="s">
        <v>32</v>
      </c>
      <c r="P2" s="1" t="s">
        <v>33</v>
      </c>
    </row>
    <row r="3" spans="2:16" x14ac:dyDescent="0.25">
      <c r="B3" s="1" t="s">
        <v>4</v>
      </c>
      <c r="C3" s="1">
        <v>203</v>
      </c>
      <c r="D3" s="1">
        <v>1225</v>
      </c>
      <c r="E3" s="1">
        <v>616</v>
      </c>
      <c r="F3" s="3">
        <v>0.5</v>
      </c>
      <c r="G3" s="2" t="s">
        <v>22</v>
      </c>
      <c r="I3" s="4">
        <v>1</v>
      </c>
      <c r="J3" s="4">
        <v>1</v>
      </c>
      <c r="K3" s="4">
        <v>1</v>
      </c>
      <c r="L3" s="4">
        <v>1</v>
      </c>
      <c r="M3" s="1">
        <v>621</v>
      </c>
      <c r="N3" s="1">
        <v>19882</v>
      </c>
      <c r="O3" s="1">
        <v>0</v>
      </c>
      <c r="P3" s="1">
        <v>0</v>
      </c>
    </row>
    <row r="5" spans="2:16" x14ac:dyDescent="0.25">
      <c r="B5" s="1" t="s">
        <v>5</v>
      </c>
      <c r="C5" s="1">
        <v>79</v>
      </c>
      <c r="D5" s="1">
        <v>511</v>
      </c>
      <c r="E5" s="1">
        <v>340</v>
      </c>
      <c r="F5" s="3">
        <v>0.66</v>
      </c>
      <c r="G5" s="2" t="s">
        <v>22</v>
      </c>
      <c r="I5" s="4">
        <v>0.99</v>
      </c>
      <c r="J5" s="4">
        <v>1</v>
      </c>
      <c r="K5" s="4">
        <v>0.94</v>
      </c>
      <c r="L5" s="4">
        <v>0.96</v>
      </c>
      <c r="M5" s="1">
        <v>320</v>
      </c>
      <c r="N5" s="1">
        <v>2741</v>
      </c>
      <c r="O5" s="1">
        <v>0</v>
      </c>
      <c r="P5" s="1">
        <v>20</v>
      </c>
    </row>
    <row r="6" spans="2:16" x14ac:dyDescent="0.25">
      <c r="B6" s="1" t="s">
        <v>6</v>
      </c>
      <c r="C6" s="1">
        <v>142</v>
      </c>
      <c r="D6" s="1">
        <v>456</v>
      </c>
      <c r="E6" s="1">
        <v>348</v>
      </c>
      <c r="F6" s="3">
        <v>0.76</v>
      </c>
      <c r="G6" s="2" t="s">
        <v>23</v>
      </c>
      <c r="I6" s="4">
        <v>0.99</v>
      </c>
      <c r="J6" s="4">
        <v>1</v>
      </c>
      <c r="K6" s="4">
        <v>0.78</v>
      </c>
      <c r="L6" s="4">
        <v>0.87</v>
      </c>
      <c r="M6" s="1">
        <v>275</v>
      </c>
      <c r="N6" s="1">
        <v>9660</v>
      </c>
      <c r="O6" s="1">
        <v>0</v>
      </c>
      <c r="P6" s="1">
        <v>76</v>
      </c>
    </row>
    <row r="7" spans="2:16" ht="30" x14ac:dyDescent="0.25">
      <c r="B7" s="1" t="s">
        <v>7</v>
      </c>
      <c r="C7" s="1">
        <v>250</v>
      </c>
      <c r="D7" s="1">
        <v>1286</v>
      </c>
      <c r="E7" s="1">
        <v>648</v>
      </c>
      <c r="F7" s="3">
        <v>0.5</v>
      </c>
      <c r="G7" s="2" t="s">
        <v>24</v>
      </c>
      <c r="I7" s="4">
        <v>0.99</v>
      </c>
      <c r="J7" s="4">
        <v>1</v>
      </c>
      <c r="K7" s="4">
        <v>0.8</v>
      </c>
      <c r="L7" s="4">
        <v>0.89</v>
      </c>
      <c r="M7" s="1">
        <v>523</v>
      </c>
      <c r="N7" s="1">
        <v>30475</v>
      </c>
      <c r="O7" s="1">
        <v>0</v>
      </c>
      <c r="P7" s="1">
        <v>127</v>
      </c>
    </row>
    <row r="8" spans="2:16" x14ac:dyDescent="0.25">
      <c r="B8" s="1" t="s">
        <v>8</v>
      </c>
      <c r="C8" s="1">
        <v>103</v>
      </c>
      <c r="D8" s="1">
        <v>686</v>
      </c>
      <c r="E8" s="1">
        <v>243</v>
      </c>
      <c r="F8" s="3">
        <v>0.35</v>
      </c>
      <c r="G8" s="2" t="s">
        <v>25</v>
      </c>
      <c r="I8" s="4">
        <v>0.98</v>
      </c>
      <c r="J8" s="4">
        <v>0.91</v>
      </c>
      <c r="K8" s="4">
        <v>0.67</v>
      </c>
      <c r="L8" s="4">
        <v>0.77</v>
      </c>
      <c r="M8" s="1">
        <v>169</v>
      </c>
      <c r="N8" s="1">
        <v>4197</v>
      </c>
      <c r="O8" s="1">
        <v>17</v>
      </c>
      <c r="P8" s="1">
        <v>82</v>
      </c>
    </row>
    <row r="9" spans="2:16" x14ac:dyDescent="0.25">
      <c r="B9" s="1" t="s">
        <v>9</v>
      </c>
      <c r="C9" s="1">
        <v>21</v>
      </c>
      <c r="D9" s="1">
        <v>110</v>
      </c>
      <c r="E9" s="1">
        <v>51</v>
      </c>
      <c r="F9" s="3">
        <v>0.46</v>
      </c>
      <c r="G9" s="2" t="s">
        <v>26</v>
      </c>
      <c r="I9" s="4">
        <v>0.99</v>
      </c>
      <c r="J9" s="4">
        <v>1</v>
      </c>
      <c r="K9" s="4">
        <v>0.98</v>
      </c>
      <c r="L9" s="4">
        <v>0.99</v>
      </c>
      <c r="M9" s="1">
        <v>51</v>
      </c>
      <c r="N9" s="1">
        <v>413</v>
      </c>
      <c r="O9" s="1">
        <v>0</v>
      </c>
      <c r="P9" s="1">
        <v>1</v>
      </c>
    </row>
    <row r="10" spans="2:16" x14ac:dyDescent="0.25">
      <c r="B10" s="5" t="s">
        <v>27</v>
      </c>
      <c r="C10" s="5">
        <f>MIN(C5:C9)</f>
        <v>21</v>
      </c>
      <c r="D10" s="5">
        <f t="shared" ref="D10:E10" si="0">MIN(D5:D9)</f>
        <v>110</v>
      </c>
      <c r="E10" s="5">
        <f t="shared" si="0"/>
        <v>51</v>
      </c>
      <c r="H10" s="1" t="s">
        <v>92</v>
      </c>
      <c r="I10" s="6">
        <f>SUM(M5:M9,N5:N9)/SUM(M5:M9,N5:N9,O5:O9,P5:P9)</f>
        <v>0.99342787962642687</v>
      </c>
      <c r="J10" s="6">
        <f>SUM(M5:M9)/SUM(M5:M9,O5:O9)</f>
        <v>0.98745387453874534</v>
      </c>
      <c r="K10" s="6">
        <f>SUM(M5:M9)/SUM(M5:M9,P5:P9)</f>
        <v>0.81386861313868608</v>
      </c>
      <c r="L10" s="6">
        <f>2*J10*K10/(J10+K10)</f>
        <v>0.89229743247749238</v>
      </c>
    </row>
    <row r="11" spans="2:16" x14ac:dyDescent="0.25">
      <c r="B11" s="5" t="s">
        <v>28</v>
      </c>
      <c r="C11" s="5">
        <f>MAX(C5:C10)</f>
        <v>250</v>
      </c>
      <c r="D11" s="5">
        <f t="shared" ref="D11:E11" si="1">MAX(D5:D10)</f>
        <v>1286</v>
      </c>
      <c r="E11" s="5">
        <f t="shared" si="1"/>
        <v>648</v>
      </c>
    </row>
    <row r="12" spans="2:16" x14ac:dyDescent="0.25">
      <c r="I12" s="1" t="s">
        <v>34</v>
      </c>
      <c r="M12" s="1" t="s">
        <v>38</v>
      </c>
    </row>
    <row r="13" spans="2:16" x14ac:dyDescent="0.25">
      <c r="I13" s="1" t="s">
        <v>35</v>
      </c>
      <c r="M13" s="1" t="s">
        <v>39</v>
      </c>
    </row>
    <row r="14" spans="2:16" x14ac:dyDescent="0.25">
      <c r="I14" s="1" t="s">
        <v>36</v>
      </c>
      <c r="M14" s="1" t="s">
        <v>40</v>
      </c>
    </row>
    <row r="15" spans="2:16" x14ac:dyDescent="0.25">
      <c r="I15" s="1" t="s">
        <v>37</v>
      </c>
      <c r="M15" s="1" t="s">
        <v>41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35604-D7EC-4741-9054-CF5F88CE1540}">
  <dimension ref="B1:C57"/>
  <sheetViews>
    <sheetView workbookViewId="0">
      <selection activeCell="F19" sqref="F19"/>
    </sheetView>
  </sheetViews>
  <sheetFormatPr baseColWidth="10" defaultRowHeight="15" x14ac:dyDescent="0.25"/>
  <sheetData>
    <row r="1" spans="2:3" x14ac:dyDescent="0.25">
      <c r="B1" t="s">
        <v>90</v>
      </c>
    </row>
    <row r="2" spans="2:3" x14ac:dyDescent="0.25">
      <c r="B2" t="s">
        <v>42</v>
      </c>
    </row>
    <row r="3" spans="2:3" x14ac:dyDescent="0.25">
      <c r="C3" t="s">
        <v>43</v>
      </c>
    </row>
    <row r="4" spans="2:3" x14ac:dyDescent="0.25">
      <c r="C4" t="s">
        <v>44</v>
      </c>
    </row>
    <row r="5" spans="2:3" x14ac:dyDescent="0.25">
      <c r="C5" t="s">
        <v>45</v>
      </c>
    </row>
    <row r="6" spans="2:3" x14ac:dyDescent="0.25">
      <c r="C6" t="s">
        <v>46</v>
      </c>
    </row>
    <row r="7" spans="2:3" x14ac:dyDescent="0.25">
      <c r="C7" t="s">
        <v>47</v>
      </c>
    </row>
    <row r="8" spans="2:3" x14ac:dyDescent="0.25">
      <c r="C8" t="s">
        <v>48</v>
      </c>
    </row>
    <row r="9" spans="2:3" x14ac:dyDescent="0.25">
      <c r="C9" t="s">
        <v>49</v>
      </c>
    </row>
    <row r="10" spans="2:3" x14ac:dyDescent="0.25">
      <c r="C10" t="s">
        <v>50</v>
      </c>
    </row>
    <row r="11" spans="2:3" x14ac:dyDescent="0.25">
      <c r="C11" t="s">
        <v>51</v>
      </c>
    </row>
    <row r="12" spans="2:3" x14ac:dyDescent="0.25">
      <c r="C12" t="s">
        <v>52</v>
      </c>
    </row>
    <row r="13" spans="2:3" x14ac:dyDescent="0.25">
      <c r="C13" t="s">
        <v>53</v>
      </c>
    </row>
    <row r="14" spans="2:3" x14ac:dyDescent="0.25">
      <c r="B14" t="s">
        <v>10</v>
      </c>
    </row>
    <row r="15" spans="2:3" x14ac:dyDescent="0.25">
      <c r="B15" t="s">
        <v>54</v>
      </c>
    </row>
    <row r="16" spans="2:3" x14ac:dyDescent="0.25">
      <c r="B16" t="s">
        <v>55</v>
      </c>
    </row>
    <row r="17" spans="2:2" x14ac:dyDescent="0.25">
      <c r="B17" t="s">
        <v>56</v>
      </c>
    </row>
    <row r="18" spans="2:2" x14ac:dyDescent="0.25">
      <c r="B18" t="s">
        <v>57</v>
      </c>
    </row>
    <row r="19" spans="2:2" x14ac:dyDescent="0.25">
      <c r="B19" t="s">
        <v>58</v>
      </c>
    </row>
    <row r="20" spans="2:2" x14ac:dyDescent="0.25">
      <c r="B20" t="s">
        <v>59</v>
      </c>
    </row>
    <row r="21" spans="2:2" x14ac:dyDescent="0.25">
      <c r="B21" t="s">
        <v>11</v>
      </c>
    </row>
    <row r="22" spans="2:2" x14ac:dyDescent="0.25">
      <c r="B22" t="s">
        <v>60</v>
      </c>
    </row>
    <row r="23" spans="2:2" x14ac:dyDescent="0.25">
      <c r="B23" t="s">
        <v>61</v>
      </c>
    </row>
    <row r="24" spans="2:2" x14ac:dyDescent="0.25">
      <c r="B24" t="s">
        <v>62</v>
      </c>
    </row>
    <row r="25" spans="2:2" x14ac:dyDescent="0.25">
      <c r="B25" t="s">
        <v>63</v>
      </c>
    </row>
    <row r="26" spans="2:2" x14ac:dyDescent="0.25">
      <c r="B26" t="s">
        <v>64</v>
      </c>
    </row>
    <row r="27" spans="2:2" x14ac:dyDescent="0.25">
      <c r="B27" t="s">
        <v>65</v>
      </c>
    </row>
    <row r="28" spans="2:2" x14ac:dyDescent="0.25">
      <c r="B28" t="s">
        <v>12</v>
      </c>
    </row>
    <row r="29" spans="2:2" x14ac:dyDescent="0.25">
      <c r="B29" t="s">
        <v>66</v>
      </c>
    </row>
    <row r="30" spans="2:2" x14ac:dyDescent="0.25">
      <c r="B30" t="s">
        <v>67</v>
      </c>
    </row>
    <row r="31" spans="2:2" x14ac:dyDescent="0.25">
      <c r="B31" t="s">
        <v>68</v>
      </c>
    </row>
    <row r="32" spans="2:2" x14ac:dyDescent="0.25">
      <c r="B32" t="s">
        <v>69</v>
      </c>
    </row>
    <row r="33" spans="2:2" x14ac:dyDescent="0.25">
      <c r="B33" t="s">
        <v>70</v>
      </c>
    </row>
    <row r="34" spans="2:2" x14ac:dyDescent="0.25">
      <c r="B34" t="s">
        <v>71</v>
      </c>
    </row>
    <row r="35" spans="2:2" x14ac:dyDescent="0.25">
      <c r="B35" t="s">
        <v>13</v>
      </c>
    </row>
    <row r="36" spans="2:2" x14ac:dyDescent="0.25">
      <c r="B36" t="s">
        <v>72</v>
      </c>
    </row>
    <row r="37" spans="2:2" x14ac:dyDescent="0.25">
      <c r="B37" t="s">
        <v>73</v>
      </c>
    </row>
    <row r="38" spans="2:2" x14ac:dyDescent="0.25">
      <c r="B38" t="s">
        <v>74</v>
      </c>
    </row>
    <row r="39" spans="2:2" x14ac:dyDescent="0.25">
      <c r="B39" t="s">
        <v>75</v>
      </c>
    </row>
    <row r="40" spans="2:2" x14ac:dyDescent="0.25">
      <c r="B40" t="s">
        <v>76</v>
      </c>
    </row>
    <row r="41" spans="2:2" x14ac:dyDescent="0.25">
      <c r="B41" t="s">
        <v>77</v>
      </c>
    </row>
    <row r="42" spans="2:2" x14ac:dyDescent="0.25">
      <c r="B42" t="s">
        <v>14</v>
      </c>
    </row>
    <row r="43" spans="2:2" x14ac:dyDescent="0.25">
      <c r="B43" t="s">
        <v>78</v>
      </c>
    </row>
    <row r="44" spans="2:2" x14ac:dyDescent="0.25">
      <c r="B44" t="s">
        <v>79</v>
      </c>
    </row>
    <row r="45" spans="2:2" x14ac:dyDescent="0.25">
      <c r="B45" t="s">
        <v>80</v>
      </c>
    </row>
    <row r="46" spans="2:2" x14ac:dyDescent="0.25">
      <c r="B46" t="s">
        <v>81</v>
      </c>
    </row>
    <row r="47" spans="2:2" x14ac:dyDescent="0.25">
      <c r="B47" t="s">
        <v>82</v>
      </c>
    </row>
    <row r="48" spans="2:2" x14ac:dyDescent="0.25">
      <c r="B48" t="s">
        <v>83</v>
      </c>
    </row>
    <row r="49" spans="2:2" x14ac:dyDescent="0.25">
      <c r="B49" t="s">
        <v>15</v>
      </c>
    </row>
    <row r="50" spans="2:2" x14ac:dyDescent="0.25">
      <c r="B50" t="s">
        <v>16</v>
      </c>
    </row>
    <row r="51" spans="2:2" x14ac:dyDescent="0.25">
      <c r="B51" t="s">
        <v>84</v>
      </c>
    </row>
    <row r="52" spans="2:2" x14ac:dyDescent="0.25">
      <c r="B52" t="s">
        <v>85</v>
      </c>
    </row>
    <row r="53" spans="2:2" x14ac:dyDescent="0.25">
      <c r="B53" t="s">
        <v>86</v>
      </c>
    </row>
    <row r="54" spans="2:2" x14ac:dyDescent="0.25">
      <c r="B54" t="s">
        <v>87</v>
      </c>
    </row>
    <row r="55" spans="2:2" x14ac:dyDescent="0.25">
      <c r="B55" t="s">
        <v>88</v>
      </c>
    </row>
    <row r="56" spans="2:2" x14ac:dyDescent="0.25">
      <c r="B56" t="s">
        <v>89</v>
      </c>
    </row>
    <row r="57" spans="2:2" x14ac:dyDescent="0.25">
      <c r="B57" t="s">
        <v>15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Datensatz</vt:lpstr>
      <vt:lpstr>Protokoll LOO-Training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Nabrotzky, Toni</dc:creator>
  <cp:lastModifiedBy>Toni Nabrotzky</cp:lastModifiedBy>
  <dcterms:created xsi:type="dcterms:W3CDTF">2015-06-05T18:19:34Z</dcterms:created>
  <dcterms:modified xsi:type="dcterms:W3CDTF">2026-03-30T20:55:56Z</dcterms:modified>
</cp:coreProperties>
</file>