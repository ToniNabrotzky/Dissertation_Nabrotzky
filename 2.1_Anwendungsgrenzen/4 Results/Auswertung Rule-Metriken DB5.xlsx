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GitHub - 2 GNN_Modellkonvertierung\2_Anwendungsgrenzen\3 Model_Training\"/>
    </mc:Choice>
  </mc:AlternateContent>
  <xr:revisionPtr revIDLastSave="0" documentId="13_ncr:1_{F983239B-0A65-4497-B849-2B5C9BF5B82E}" xr6:coauthVersionLast="47" xr6:coauthVersionMax="47" xr10:uidLastSave="{00000000-0000-0000-0000-000000000000}"/>
  <bookViews>
    <workbookView xWindow="-46920" yWindow="-6495" windowWidth="18240" windowHeight="28440" xr2:uid="{00000000-000D-0000-FFFF-FFFF00000000}"/>
  </bookViews>
  <sheets>
    <sheet name="Datensatz" sheetId="1" r:id="rId1"/>
    <sheet name="Protokoll LOO-Train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L10" i="1" s="1"/>
  <c r="J10" i="1"/>
  <c r="I10" i="1"/>
  <c r="D10" i="1"/>
  <c r="E10" i="1"/>
  <c r="D11" i="1"/>
  <c r="E11" i="1"/>
  <c r="C11" i="1"/>
  <c r="C10" i="1"/>
</calcChain>
</file>

<file path=xl/sharedStrings.xml><?xml version="1.0" encoding="utf-8"?>
<sst xmlns="http://schemas.openxmlformats.org/spreadsheetml/2006/main" count="111" uniqueCount="109">
  <si>
    <t>Accuracy</t>
  </si>
  <si>
    <t>Precision</t>
  </si>
  <si>
    <t>Recall</t>
  </si>
  <si>
    <t>F1</t>
  </si>
  <si>
    <t>Parametrisches Modell Index_00250</t>
  </si>
  <si>
    <t>21_22 L_TWP_Tragwerksmodell</t>
  </si>
  <si>
    <t>23_24 LTWP-V__Dachtragwerk</t>
  </si>
  <si>
    <t>20220421MODEL REV01</t>
  </si>
  <si>
    <t>202102183458-Model</t>
  </si>
  <si>
    <t>Grethes-hus-bok-2</t>
  </si>
  <si>
    <t>--- Starte Fold 1 | Test-Modell: 202102183458-Model Graph.json ---</t>
  </si>
  <si>
    <t>--- Starte Fold 2 | Test-Modell: 20220421MODEL REV01 Graph.json ---</t>
  </si>
  <si>
    <t>--- Starte Fold 3 | Test-Modell: 21_22 L_TWP_Tragwerksmodell Graph.json ---</t>
  </si>
  <si>
    <t>--- Starte Fold 4 | Test-Modell: 23_24 LTWP-V__Dachtragwerk Graph.json ---</t>
  </si>
  <si>
    <t>--- Starte Fold 5 | Test-Modell: Grethes-hus-bok-2 Graph.json ---</t>
  </si>
  <si>
    <t>========================================</t>
  </si>
  <si>
    <t>LOO-KREUZVALIDIERUNG ABSCHLUSS</t>
  </si>
  <si>
    <t>Modellname</t>
  </si>
  <si>
    <t>Bauteile</t>
  </si>
  <si>
    <t>pot. Kanten</t>
  </si>
  <si>
    <t>GT-Kanten</t>
  </si>
  <si>
    <t>Prozent</t>
  </si>
  <si>
    <t>Balken, Säulen, Decken, Wände</t>
  </si>
  <si>
    <t>Balken, Säulen</t>
  </si>
  <si>
    <t>Balken, Säulen (teils mit hoher lokaler Bauteildichte)</t>
  </si>
  <si>
    <t>Balken, Säulen, Wände</t>
  </si>
  <si>
    <t>Säulen, Decken, Wände</t>
  </si>
  <si>
    <t>MIN</t>
  </si>
  <si>
    <t>MAX</t>
  </si>
  <si>
    <t>RB-Metriken</t>
  </si>
  <si>
    <t>TP</t>
  </si>
  <si>
    <t>TN</t>
  </si>
  <si>
    <t>FP</t>
  </si>
  <si>
    <t>FN</t>
  </si>
  <si>
    <t>Recall = Trefferquote/Sensitivität</t>
  </si>
  <si>
    <t>F1-Score = Harmonisches Mittel</t>
  </si>
  <si>
    <t>TN = negativ vorhergesagt, tatsächlich negativ</t>
  </si>
  <si>
    <t>FN = negativ vorhergesagt, tatsächlich positiv --&gt; Übersehen, Kopplungsdefizit</t>
  </si>
  <si>
    <t>CONFIG:</t>
  </si>
  <si>
    <t>model_type: GINE</t>
  </si>
  <si>
    <t>hidden_dim: 128</t>
  </si>
  <si>
    <t>num_layers: 5</t>
  </si>
  <si>
    <t>activation: ELU</t>
  </si>
  <si>
    <t>dropout: 0.2</t>
  </si>
  <si>
    <t>lr: 0.001</t>
  </si>
  <si>
    <t>epochs: 500</t>
  </si>
  <si>
    <t>edge_dim: 1</t>
  </si>
  <si>
    <t>batch_size: 12</t>
  </si>
  <si>
    <t>threshold: 0.5</t>
  </si>
  <si>
    <t>node_features: origin, centroid, centroid_x, centroid_y, centroid_z, dimensions, norm_dimensions, area, volume, ratio_av, normed_x, normed_y, normed_z, entity_one_hot_idx</t>
  </si>
  <si>
    <t xml:space="preserve">  Epoch 100 | Loss: 0.5612 | Best Val-F1: 0.52</t>
  </si>
  <si>
    <t xml:space="preserve">  Epoch 200 | Loss: 0.5016 | Best Val-F1: 0.54</t>
  </si>
  <si>
    <t xml:space="preserve">  Epoch 300 | Loss: 0.4342 | Best Val-F1: 0.54</t>
  </si>
  <si>
    <t xml:space="preserve">  Epoch 400 | Loss: 0.4157 | Best Val-F1: 0.55</t>
  </si>
  <si>
    <t xml:space="preserve">  Epoch 500 | Loss: 0.3625 | Best Val-F1: 0.55</t>
  </si>
  <si>
    <t>RESULT Fold 1 (Threshold 0.5): Acc: 51.46%, F1: 0.55, Prec: 0.41, Rec: 0.85</t>
  </si>
  <si>
    <t xml:space="preserve">  Epoch 100 | Loss: 0.5213 | Best Val-F1: 0.69</t>
  </si>
  <si>
    <t xml:space="preserve">  Epoch 200 | Loss: 0.4463 | Best Val-F1: 0.69</t>
  </si>
  <si>
    <t xml:space="preserve">  Epoch 300 | Loss: 0.3881 | Best Val-F1: 0.69</t>
  </si>
  <si>
    <t xml:space="preserve">  Epoch 400 | Loss: 0.2890 | Best Val-F1: 0.69</t>
  </si>
  <si>
    <t xml:space="preserve">  Epoch 500 | Loss: 0.2550 | Best Val-F1: 0.69</t>
  </si>
  <si>
    <t>RESULT Fold 2 (Threshold 0.5): Acc: 56.14%, F1: 0.69, Prec: 0.54, Rec: 0.95</t>
  </si>
  <si>
    <t xml:space="preserve">  Epoch 100 | Loss: 0.5386 | Best Val-F1: 0.76</t>
  </si>
  <si>
    <t xml:space="preserve">  Epoch 200 | Loss: 0.4555 | Best Val-F1: 0.76</t>
  </si>
  <si>
    <t xml:space="preserve">  Epoch 300 | Loss: 0.3932 | Best Val-F1: 0.76</t>
  </si>
  <si>
    <t xml:space="preserve">  Epoch 400 | Loss: 0.3390 | Best Val-F1: 0.78</t>
  </si>
  <si>
    <t xml:space="preserve">  Epoch 500 | Loss: 0.2880 | Best Val-F1: 0.78</t>
  </si>
  <si>
    <t>RESULT Fold 3 (Threshold 0.5): Acc: 63.99%, F1: 0.78, Prec: 0.66, Rec: 0.94</t>
  </si>
  <si>
    <t xml:space="preserve">  Epoch 100 | Loss: 0.5792 | Best Val-F1: 0.87</t>
  </si>
  <si>
    <t xml:space="preserve">  Epoch 200 | Loss: 0.5068 | Best Val-F1: 0.87</t>
  </si>
  <si>
    <t xml:space="preserve">  Epoch 300 | Loss: 0.4542 | Best Val-F1: 0.87</t>
  </si>
  <si>
    <t xml:space="preserve">  Epoch 400 | Loss: 0.3951 | Best Val-F1: 0.87</t>
  </si>
  <si>
    <t xml:space="preserve">  Epoch 500 | Loss: 0.3414 | Best Val-F1: 0.87</t>
  </si>
  <si>
    <t>RESULT Fold 4 (Threshold 0.5): Acc: 78.29%, F1: 0.87, Prec: 0.81, Rec: 0.93</t>
  </si>
  <si>
    <t xml:space="preserve">  Epoch 100 | Loss: 0.5665 | Best Val-F1: 0.71</t>
  </si>
  <si>
    <t xml:space="preserve">  Epoch 200 | Loss: 0.5169 | Best Val-F1: 0.71</t>
  </si>
  <si>
    <t xml:space="preserve">  Epoch 300 | Loss: 0.4561 | Best Val-F1: 0.71</t>
  </si>
  <si>
    <t xml:space="preserve">  Epoch 400 | Loss: 0.3987 | Best Val-F1: 0.71</t>
  </si>
  <si>
    <t xml:space="preserve">  Epoch 500 | Loss: 0.3473 | Best Val-F1: 0.71</t>
  </si>
  <si>
    <t>RESULT Fold 5 (Threshold 0.5): Acc: 71.82%, F1: 0.71, Prec: 0.68, Rec: 0.75</t>
  </si>
  <si>
    <t>Anzahl Modelle: 5</t>
  </si>
  <si>
    <t>Durchschnittliche Accuracy:  64.34%</t>
  </si>
  <si>
    <t>Durchschnittlicher F1-Score: 0.72</t>
  </si>
  <si>
    <t>Durchschnittliche Precision: 0.62</t>
  </si>
  <si>
    <t>Durchschnittlicher Recall:    0.88</t>
  </si>
  <si>
    <t>Modelle gespeichert in: h:\2_2 GNN_Modellkonvertierung (Anwendungsrenze)\3 Model_Training\Test_00_DB5_DefaultSettings</t>
  </si>
  <si>
    <t>Lade 5 Graphen in den Speicher...</t>
  </si>
  <si>
    <t>enthält folgende Entitäten:</t>
  </si>
  <si>
    <t>Gesamtwerte:</t>
  </si>
  <si>
    <t>TP = positiv vorhergesagt, tatsächlich positiv</t>
  </si>
  <si>
    <t>FP = positiv vorhergesagt, tatsächlich negativ --&gt; Fehlalarm, Überkopplung</t>
  </si>
  <si>
    <t>Accuracy = Trefferquote (Zuverlässigkeit aller Vorhersagen)</t>
  </si>
  <si>
    <t>Precision = Genauigkeit (Zuverlässigkeit der positiven Vorhersagen -_&gt; verhindert Fehlalarme)</t>
  </si>
  <si>
    <t>1. Accuracy (Trefferquote)</t>
  </si>
  <si>
    <r>
      <t>Was es bedeutet:</t>
    </r>
    <r>
      <rPr>
        <sz val="12"/>
        <color theme="1"/>
        <rFont val="Arial"/>
        <family val="2"/>
      </rPr>
      <t xml:space="preserve"> Wie oft liegt das Modell insgesamt richtig?</t>
    </r>
  </si>
  <si>
    <r>
      <t>Einfach erklärt:</t>
    </r>
    <r>
      <rPr>
        <sz val="12"/>
        <color theme="1"/>
        <rFont val="Arial"/>
        <family val="2"/>
      </rPr>
      <t xml:space="preserve"> Der Filter bewertet 100 E-Mails (Spam und normale Mails). Wenn er bei 90 Mails richtig rät, liegt die Accuracy bei 90 %.</t>
    </r>
  </si>
  <si>
    <r>
      <t>Das Problem:</t>
    </r>
    <r>
      <rPr>
        <sz val="12"/>
        <color theme="1"/>
        <rFont val="Arial"/>
        <family val="2"/>
      </rPr>
      <t xml:space="preserve"> Wenn 99 von 100 Mails normal sind und der Filter einfach </t>
    </r>
    <r>
      <rPr>
        <i/>
        <sz val="12"/>
        <color theme="1"/>
        <rFont val="Arial"/>
        <family val="2"/>
      </rPr>
      <t>niemals</t>
    </r>
    <r>
      <rPr>
        <sz val="12"/>
        <color theme="1"/>
        <rFont val="Arial"/>
        <family val="2"/>
      </rPr>
      <t xml:space="preserve"> Spam erkennt, hat er trotzdem 99 % Accuracy. Er ist aber trotzdem nutzlos für Spam. [1, 2, 3]</t>
    </r>
  </si>
  <si>
    <t>2. Precision (Genauigkeit)</t>
  </si>
  <si>
    <r>
      <t>Was es bedeutet:</t>
    </r>
    <r>
      <rPr>
        <sz val="12"/>
        <color theme="1"/>
        <rFont val="Arial"/>
        <family val="2"/>
      </rPr>
      <t xml:space="preserve"> Wenn das Modell "Spam" sagt, wie oft stimmt das auch?</t>
    </r>
  </si>
  <si>
    <r>
      <t>Einfach erklärt:</t>
    </r>
    <r>
      <rPr>
        <sz val="12"/>
        <color theme="1"/>
        <rFont val="Arial"/>
        <family val="2"/>
      </rPr>
      <t xml:space="preserve"> Der Filter sortiert 10 Mails in den Spam-Ordner. Wenn 9 davon wirklich Spam sind und 1 eine wichtige Mail vom Chef war, liegt die Precision bei 90 %.</t>
    </r>
  </si>
  <si>
    <r>
      <t>Ziel:</t>
    </r>
    <r>
      <rPr>
        <sz val="12"/>
        <color theme="1"/>
        <rFont val="Arial"/>
        <family val="2"/>
      </rPr>
      <t xml:space="preserve"> Hohe Precision verhindert falschen Alarm (z. B. dass wichtige Mails gelöscht werden).</t>
    </r>
  </si>
  <si>
    <t>3. Recall (Trefferquote / Sensitivität)</t>
  </si>
  <si>
    <r>
      <t>Was es bedeutet:</t>
    </r>
    <r>
      <rPr>
        <sz val="12"/>
        <color theme="1"/>
        <rFont val="Arial"/>
        <family val="2"/>
      </rPr>
      <t xml:space="preserve"> Wie viel vom echten Spam hat das Modell überhaupt gefunden?</t>
    </r>
  </si>
  <si>
    <r>
      <t>Einfach erklärt:</t>
    </r>
    <r>
      <rPr>
        <sz val="12"/>
        <color theme="1"/>
        <rFont val="Arial"/>
        <family val="2"/>
      </rPr>
      <t xml:space="preserve"> Es gibt insgesamt 10 echte Spam-Mails in Ihrem Postfach. Der Filter findet davon nur 7 (die anderen 3 landen im normalen Posteingang). Der Recall liegt bei 70 %.</t>
    </r>
  </si>
  <si>
    <t>Ziel: Hoher Recall sorgt dafür, dass Ihnen nichts durchrutscht (wichtig z. B. bei medizinischen Tests, wo man keine Krankheit übersehen darf). [1]</t>
  </si>
  <si>
    <t>4. F1-Score (Der Kompromiss) [1]</t>
  </si>
  <si>
    <r>
      <t>Was es bedeutet:</t>
    </r>
    <r>
      <rPr>
        <sz val="12"/>
        <color theme="1"/>
        <rFont val="Arial"/>
        <family val="2"/>
      </rPr>
      <t xml:space="preserve"> Der mathematische Mittelwert aus Precision und Recall.</t>
    </r>
  </si>
  <si>
    <r>
      <t>Einfach erklärt:</t>
    </r>
    <r>
      <rPr>
        <sz val="12"/>
        <color theme="1"/>
        <rFont val="Arial"/>
        <family val="2"/>
      </rPr>
      <t xml:space="preserve"> Oft sinkt die Precision, wenn der Recall steigt (und umgekehrt). Wenn Sie einen Filter wollen, der sowohl wenig falschen Alarm schlägt (Precision) als auch fast jeden Spam findet (Recall), schauen Sie auf den F1-Score.</t>
    </r>
  </si>
  <si>
    <r>
      <rPr>
        <b/>
        <u/>
        <sz val="12"/>
        <color theme="10"/>
        <rFont val="Arial"/>
        <family val="2"/>
      </rPr>
      <t>Ziel</t>
    </r>
    <r>
      <rPr>
        <u/>
        <sz val="12"/>
        <color theme="10"/>
        <rFont val="Arial"/>
        <family val="2"/>
      </rPr>
      <t>: Ein hoher F1-Score zeigt, dass das Modell eine gute Balance zwischen beiden Welten hat.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</si>
</sst>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12"/>
      <color theme="1"/>
      <name val="Arial"/>
      <family val="2"/>
    </font>
    <font>
      <i/>
      <sz val="12"/>
      <color theme="1"/>
      <name val="Arial"/>
      <family val="2"/>
    </font>
    <font>
      <u/>
      <sz val="11"/>
      <color theme="10"/>
      <name val="Calibri"/>
      <family val="2"/>
      <scheme val="minor"/>
    </font>
    <font>
      <b/>
      <sz val="15"/>
      <color theme="1"/>
      <name val="Arial"/>
      <family val="2"/>
    </font>
    <font>
      <b/>
      <u/>
      <sz val="15"/>
      <color theme="10"/>
      <name val="Arial"/>
      <family val="2"/>
    </font>
    <font>
      <u/>
      <sz val="12"/>
      <color theme="10"/>
      <name val="Arial"/>
      <family val="2"/>
    </font>
    <font>
      <b/>
      <u/>
      <sz val="12"/>
      <color theme="10"/>
      <name val="Arial"/>
      <family val="2"/>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2">
    <xf numFmtId="0" fontId="0" fillId="0" borderId="0" xfId="0"/>
    <xf numFmtId="0" fontId="0" fillId="0" borderId="0" xfId="0" applyAlignment="1">
      <alignment vertical="center"/>
    </xf>
    <xf numFmtId="0" fontId="0" fillId="0" borderId="0" xfId="0" applyAlignment="1">
      <alignment vertical="center" wrapText="1"/>
    </xf>
    <xf numFmtId="9" fontId="0" fillId="0" borderId="0" xfId="0" applyNumberFormat="1" applyAlignment="1">
      <alignment vertical="center"/>
    </xf>
    <xf numFmtId="9" fontId="0" fillId="0" borderId="0" xfId="1" applyFont="1" applyAlignment="1">
      <alignment vertical="center"/>
    </xf>
    <xf numFmtId="0" fontId="2" fillId="0" borderId="0" xfId="0" applyFont="1" applyAlignment="1">
      <alignment vertical="center"/>
    </xf>
    <xf numFmtId="9" fontId="2" fillId="0" borderId="0" xfId="1" applyFont="1" applyAlignment="1">
      <alignment vertical="center"/>
    </xf>
    <xf numFmtId="0" fontId="4" fillId="0" borderId="0" xfId="0" applyFont="1" applyAlignment="1">
      <alignment horizontal="left" vertical="center"/>
    </xf>
    <xf numFmtId="0" fontId="6" fillId="0" borderId="0" xfId="2" applyAlignment="1">
      <alignment horizontal="left" vertical="center"/>
    </xf>
    <xf numFmtId="0" fontId="7" fillId="0" borderId="0" xfId="0" applyFont="1" applyAlignment="1">
      <alignment vertical="center"/>
    </xf>
    <xf numFmtId="0" fontId="8" fillId="0" borderId="0" xfId="2" applyFont="1" applyAlignment="1">
      <alignment vertical="center"/>
    </xf>
    <xf numFmtId="0" fontId="9" fillId="0" borderId="0" xfId="2" applyFont="1" applyAlignment="1">
      <alignment horizontal="left" vertical="center"/>
    </xf>
  </cellXfs>
  <cellStyles count="3">
    <cellStyle name="Link" xfId="2" builtinId="8"/>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e-transformation-weiterbildung.ch/digitalisierung-lexikon/precision-recall-tradeoff/" TargetMode="External"/><Relationship Id="rId2" Type="http://schemas.openxmlformats.org/officeDocument/2006/relationships/hyperlink" Target="https://www.flowhunt.io/de/glossar/f1-score/" TargetMode="External"/><Relationship Id="rId1" Type="http://schemas.openxmlformats.org/officeDocument/2006/relationships/hyperlink" Target="https://www.flowhunt.io/de/glossar/recall-in-machine-learnin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39"/>
  <sheetViews>
    <sheetView tabSelected="1" topLeftCell="G1" workbookViewId="0">
      <selection activeCell="G46" sqref="G46"/>
    </sheetView>
  </sheetViews>
  <sheetFormatPr baseColWidth="10" defaultColWidth="9.140625" defaultRowHeight="15" x14ac:dyDescent="0.25"/>
  <cols>
    <col min="1" max="1" width="9.140625" style="1"/>
    <col min="2" max="2" width="33.28515625" style="1" bestFit="1" customWidth="1"/>
    <col min="3" max="6" width="9.140625" style="1"/>
    <col min="7" max="7" width="32.5703125" style="2" customWidth="1"/>
    <col min="8" max="8" width="13.5703125" style="1" bestFit="1" customWidth="1"/>
    <col min="9" max="16384" width="9.140625" style="1"/>
  </cols>
  <sheetData>
    <row r="2" spans="2:16" x14ac:dyDescent="0.25">
      <c r="B2" s="1" t="s">
        <v>17</v>
      </c>
      <c r="C2" s="1" t="s">
        <v>18</v>
      </c>
      <c r="D2" s="1" t="s">
        <v>19</v>
      </c>
      <c r="E2" s="1" t="s">
        <v>20</v>
      </c>
      <c r="F2" s="1" t="s">
        <v>21</v>
      </c>
      <c r="G2" s="2" t="s">
        <v>87</v>
      </c>
      <c r="H2" s="1" t="s">
        <v>29</v>
      </c>
      <c r="I2" s="1" t="s">
        <v>0</v>
      </c>
      <c r="J2" s="1" t="s">
        <v>1</v>
      </c>
      <c r="K2" s="1" t="s">
        <v>2</v>
      </c>
      <c r="L2" s="1" t="s">
        <v>3</v>
      </c>
      <c r="M2" s="1" t="s">
        <v>30</v>
      </c>
      <c r="N2" s="1" t="s">
        <v>31</v>
      </c>
      <c r="O2" s="1" t="s">
        <v>32</v>
      </c>
      <c r="P2" s="1" t="s">
        <v>33</v>
      </c>
    </row>
    <row r="3" spans="2:16" x14ac:dyDescent="0.25">
      <c r="B3" s="1" t="s">
        <v>4</v>
      </c>
      <c r="C3" s="1">
        <v>203</v>
      </c>
      <c r="D3" s="1">
        <v>1225</v>
      </c>
      <c r="E3" s="1">
        <v>616</v>
      </c>
      <c r="F3" s="3">
        <v>0.5</v>
      </c>
      <c r="G3" s="2" t="s">
        <v>22</v>
      </c>
      <c r="I3" s="4">
        <v>1</v>
      </c>
      <c r="J3" s="4">
        <v>1</v>
      </c>
      <c r="K3" s="4">
        <v>1</v>
      </c>
      <c r="L3" s="4">
        <v>1</v>
      </c>
      <c r="M3" s="1">
        <v>621</v>
      </c>
      <c r="N3" s="1">
        <v>19882</v>
      </c>
      <c r="O3" s="1">
        <v>0</v>
      </c>
      <c r="P3" s="1">
        <v>0</v>
      </c>
    </row>
    <row r="5" spans="2:16" x14ac:dyDescent="0.25">
      <c r="B5" s="1" t="s">
        <v>5</v>
      </c>
      <c r="C5" s="1">
        <v>79</v>
      </c>
      <c r="D5" s="1">
        <v>511</v>
      </c>
      <c r="E5" s="1">
        <v>340</v>
      </c>
      <c r="F5" s="3">
        <v>0.66</v>
      </c>
      <c r="G5" s="2" t="s">
        <v>22</v>
      </c>
      <c r="I5" s="4">
        <v>0.99</v>
      </c>
      <c r="J5" s="4">
        <v>1</v>
      </c>
      <c r="K5" s="4">
        <v>0.94</v>
      </c>
      <c r="L5" s="4">
        <v>0.96</v>
      </c>
      <c r="M5" s="1">
        <v>320</v>
      </c>
      <c r="N5" s="1">
        <v>2741</v>
      </c>
      <c r="O5" s="1">
        <v>0</v>
      </c>
      <c r="P5" s="1">
        <v>20</v>
      </c>
    </row>
    <row r="6" spans="2:16" x14ac:dyDescent="0.25">
      <c r="B6" s="1" t="s">
        <v>6</v>
      </c>
      <c r="C6" s="1">
        <v>142</v>
      </c>
      <c r="D6" s="1">
        <v>456</v>
      </c>
      <c r="E6" s="1">
        <v>348</v>
      </c>
      <c r="F6" s="3">
        <v>0.76</v>
      </c>
      <c r="G6" s="2" t="s">
        <v>23</v>
      </c>
      <c r="I6" s="4">
        <v>0.99</v>
      </c>
      <c r="J6" s="4">
        <v>1</v>
      </c>
      <c r="K6" s="4">
        <v>0.78</v>
      </c>
      <c r="L6" s="4">
        <v>0.87</v>
      </c>
      <c r="M6" s="1">
        <v>275</v>
      </c>
      <c r="N6" s="1">
        <v>9660</v>
      </c>
      <c r="O6" s="1">
        <v>0</v>
      </c>
      <c r="P6" s="1">
        <v>76</v>
      </c>
    </row>
    <row r="7" spans="2:16" ht="30" x14ac:dyDescent="0.25">
      <c r="B7" s="1" t="s">
        <v>7</v>
      </c>
      <c r="C7" s="1">
        <v>250</v>
      </c>
      <c r="D7" s="1">
        <v>1286</v>
      </c>
      <c r="E7" s="1">
        <v>648</v>
      </c>
      <c r="F7" s="3">
        <v>0.5</v>
      </c>
      <c r="G7" s="2" t="s">
        <v>24</v>
      </c>
      <c r="I7" s="4">
        <v>0.99</v>
      </c>
      <c r="J7" s="4">
        <v>1</v>
      </c>
      <c r="K7" s="4">
        <v>0.8</v>
      </c>
      <c r="L7" s="4">
        <v>0.89</v>
      </c>
      <c r="M7" s="1">
        <v>523</v>
      </c>
      <c r="N7" s="1">
        <v>30475</v>
      </c>
      <c r="O7" s="1">
        <v>0</v>
      </c>
      <c r="P7" s="1">
        <v>127</v>
      </c>
    </row>
    <row r="8" spans="2:16" x14ac:dyDescent="0.25">
      <c r="B8" s="1" t="s">
        <v>8</v>
      </c>
      <c r="C8" s="1">
        <v>103</v>
      </c>
      <c r="D8" s="1">
        <v>686</v>
      </c>
      <c r="E8" s="1">
        <v>243</v>
      </c>
      <c r="F8" s="3">
        <v>0.35</v>
      </c>
      <c r="G8" s="2" t="s">
        <v>25</v>
      </c>
      <c r="I8" s="4">
        <v>0.98</v>
      </c>
      <c r="J8" s="4">
        <v>0.91</v>
      </c>
      <c r="K8" s="4">
        <v>0.67</v>
      </c>
      <c r="L8" s="4">
        <v>0.77</v>
      </c>
      <c r="M8" s="1">
        <v>169</v>
      </c>
      <c r="N8" s="1">
        <v>4197</v>
      </c>
      <c r="O8" s="1">
        <v>17</v>
      </c>
      <c r="P8" s="1">
        <v>82</v>
      </c>
    </row>
    <row r="9" spans="2:16" x14ac:dyDescent="0.25">
      <c r="B9" s="1" t="s">
        <v>9</v>
      </c>
      <c r="C9" s="1">
        <v>21</v>
      </c>
      <c r="D9" s="1">
        <v>110</v>
      </c>
      <c r="E9" s="1">
        <v>51</v>
      </c>
      <c r="F9" s="3">
        <v>0.46</v>
      </c>
      <c r="G9" s="2" t="s">
        <v>26</v>
      </c>
      <c r="I9" s="4">
        <v>0.99</v>
      </c>
      <c r="J9" s="4">
        <v>1</v>
      </c>
      <c r="K9" s="4">
        <v>0.98</v>
      </c>
      <c r="L9" s="4">
        <v>0.99</v>
      </c>
      <c r="M9" s="1">
        <v>51</v>
      </c>
      <c r="N9" s="1">
        <v>413</v>
      </c>
      <c r="O9" s="1">
        <v>0</v>
      </c>
      <c r="P9" s="1">
        <v>1</v>
      </c>
    </row>
    <row r="10" spans="2:16" x14ac:dyDescent="0.25">
      <c r="B10" s="5" t="s">
        <v>27</v>
      </c>
      <c r="C10" s="5">
        <f>MIN(C5:C9)</f>
        <v>21</v>
      </c>
      <c r="D10" s="5">
        <f t="shared" ref="D10:E10" si="0">MIN(D5:D9)</f>
        <v>110</v>
      </c>
      <c r="E10" s="5">
        <f t="shared" si="0"/>
        <v>51</v>
      </c>
      <c r="H10" s="1" t="s">
        <v>88</v>
      </c>
      <c r="I10" s="6">
        <f>SUM(M5:M9,N5:N9)/SUM(M5:M9,N5:N9,O5:O9,P5:P9)</f>
        <v>0.99342787962642687</v>
      </c>
      <c r="J10" s="6">
        <f>SUM(M5:M9)/SUM(M5:M9,O5:O9)</f>
        <v>0.98745387453874534</v>
      </c>
      <c r="K10" s="6">
        <f>SUM(M5:M9)/SUM(M5:M9,P5:P9)</f>
        <v>0.81386861313868608</v>
      </c>
      <c r="L10" s="6">
        <f>2*J10*K10/(J10+K10)</f>
        <v>0.89229743247749238</v>
      </c>
    </row>
    <row r="11" spans="2:16" x14ac:dyDescent="0.25">
      <c r="B11" s="5" t="s">
        <v>28</v>
      </c>
      <c r="C11" s="5">
        <f>MAX(C5:C10)</f>
        <v>250</v>
      </c>
      <c r="D11" s="5">
        <f t="shared" ref="D11:E11" si="1">MAX(D5:D10)</f>
        <v>1286</v>
      </c>
      <c r="E11" s="5">
        <f t="shared" si="1"/>
        <v>648</v>
      </c>
    </row>
    <row r="13" spans="2:16" x14ac:dyDescent="0.25">
      <c r="I13" s="1" t="s">
        <v>89</v>
      </c>
    </row>
    <row r="14" spans="2:16" x14ac:dyDescent="0.25">
      <c r="I14" s="1" t="s">
        <v>36</v>
      </c>
    </row>
    <row r="15" spans="2:16" x14ac:dyDescent="0.25">
      <c r="I15" s="1" t="s">
        <v>90</v>
      </c>
    </row>
    <row r="16" spans="2:16" x14ac:dyDescent="0.25">
      <c r="I16" s="1" t="s">
        <v>37</v>
      </c>
    </row>
    <row r="18" spans="7:9" x14ac:dyDescent="0.25">
      <c r="I18" s="1" t="s">
        <v>91</v>
      </c>
    </row>
    <row r="19" spans="7:9" x14ac:dyDescent="0.25">
      <c r="I19" s="1" t="s">
        <v>92</v>
      </c>
    </row>
    <row r="20" spans="7:9" x14ac:dyDescent="0.25">
      <c r="I20" s="1" t="s">
        <v>34</v>
      </c>
    </row>
    <row r="21" spans="7:9" x14ac:dyDescent="0.25">
      <c r="I21" s="1" t="s">
        <v>35</v>
      </c>
    </row>
    <row r="24" spans="7:9" ht="19.5" x14ac:dyDescent="0.25">
      <c r="G24" s="9" t="s">
        <v>93</v>
      </c>
    </row>
    <row r="25" spans="7:9" x14ac:dyDescent="0.25">
      <c r="G25" s="7" t="s">
        <v>94</v>
      </c>
    </row>
    <row r="26" spans="7:9" x14ac:dyDescent="0.25">
      <c r="G26" s="7" t="s">
        <v>95</v>
      </c>
    </row>
    <row r="27" spans="7:9" x14ac:dyDescent="0.25">
      <c r="G27" s="7" t="s">
        <v>96</v>
      </c>
    </row>
    <row r="28" spans="7:9" ht="19.5" x14ac:dyDescent="0.25">
      <c r="G28" s="9" t="s">
        <v>97</v>
      </c>
    </row>
    <row r="29" spans="7:9" x14ac:dyDescent="0.25">
      <c r="G29" s="7" t="s">
        <v>98</v>
      </c>
    </row>
    <row r="30" spans="7:9" x14ac:dyDescent="0.25">
      <c r="G30" s="7" t="s">
        <v>99</v>
      </c>
    </row>
    <row r="31" spans="7:9" x14ac:dyDescent="0.25">
      <c r="G31" s="7" t="s">
        <v>100</v>
      </c>
    </row>
    <row r="32" spans="7:9" ht="19.5" x14ac:dyDescent="0.25">
      <c r="G32" s="9" t="s">
        <v>101</v>
      </c>
    </row>
    <row r="33" spans="7:7" x14ac:dyDescent="0.25">
      <c r="G33" s="7" t="s">
        <v>102</v>
      </c>
    </row>
    <row r="34" spans="7:7" x14ac:dyDescent="0.25">
      <c r="G34" s="7" t="s">
        <v>103</v>
      </c>
    </row>
    <row r="35" spans="7:7" x14ac:dyDescent="0.25">
      <c r="G35" s="8" t="s">
        <v>104</v>
      </c>
    </row>
    <row r="36" spans="7:7" ht="19.5" x14ac:dyDescent="0.25">
      <c r="G36" s="10" t="s">
        <v>105</v>
      </c>
    </row>
    <row r="37" spans="7:7" x14ac:dyDescent="0.25">
      <c r="G37" s="7" t="s">
        <v>106</v>
      </c>
    </row>
    <row r="38" spans="7:7" x14ac:dyDescent="0.25">
      <c r="G38" s="7" t="s">
        <v>107</v>
      </c>
    </row>
    <row r="39" spans="7:7" ht="15.75" x14ac:dyDescent="0.25">
      <c r="G39" s="11" t="s">
        <v>108</v>
      </c>
    </row>
  </sheetData>
  <hyperlinks>
    <hyperlink ref="G35" r:id="rId1" display="https://www.flowhunt.io/de/glossar/recall-in-machine-learning/" xr:uid="{C92A9A3F-8524-48F2-8B05-51CFF4AAC621}"/>
    <hyperlink ref="G36" r:id="rId2" display="https://www.flowhunt.io/de/glossar/f1-score/" xr:uid="{57477C1E-D82F-40DC-8E60-AB20F70BAF74}"/>
    <hyperlink ref="G39" r:id="rId3" display="https://digitale-transformation-weiterbildung.ch/digitalisierung-lexikon/precision-recall-tradeoff/" xr:uid="{AC4E95F7-BB22-419E-9832-EBF351F12CA5}"/>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5604-D7EC-4741-9054-CF5F88CE1540}">
  <dimension ref="B1:C57"/>
  <sheetViews>
    <sheetView workbookViewId="0">
      <selection activeCell="G29" sqref="G29"/>
    </sheetView>
  </sheetViews>
  <sheetFormatPr baseColWidth="10" defaultRowHeight="15" x14ac:dyDescent="0.25"/>
  <sheetData>
    <row r="1" spans="2:3" x14ac:dyDescent="0.25">
      <c r="B1" t="s">
        <v>86</v>
      </c>
    </row>
    <row r="2" spans="2:3" x14ac:dyDescent="0.25">
      <c r="B2" t="s">
        <v>38</v>
      </c>
    </row>
    <row r="3" spans="2:3" x14ac:dyDescent="0.25">
      <c r="C3" t="s">
        <v>39</v>
      </c>
    </row>
    <row r="4" spans="2:3" x14ac:dyDescent="0.25">
      <c r="C4" t="s">
        <v>40</v>
      </c>
    </row>
    <row r="5" spans="2:3" x14ac:dyDescent="0.25">
      <c r="C5" t="s">
        <v>41</v>
      </c>
    </row>
    <row r="6" spans="2:3" x14ac:dyDescent="0.25">
      <c r="C6" t="s">
        <v>42</v>
      </c>
    </row>
    <row r="7" spans="2:3" x14ac:dyDescent="0.25">
      <c r="C7" t="s">
        <v>43</v>
      </c>
    </row>
    <row r="8" spans="2:3" x14ac:dyDescent="0.25">
      <c r="C8" t="s">
        <v>44</v>
      </c>
    </row>
    <row r="9" spans="2:3" x14ac:dyDescent="0.25">
      <c r="C9" t="s">
        <v>45</v>
      </c>
    </row>
    <row r="10" spans="2:3" x14ac:dyDescent="0.25">
      <c r="C10" t="s">
        <v>46</v>
      </c>
    </row>
    <row r="11" spans="2:3" x14ac:dyDescent="0.25">
      <c r="C11" t="s">
        <v>47</v>
      </c>
    </row>
    <row r="12" spans="2:3" x14ac:dyDescent="0.25">
      <c r="C12" t="s">
        <v>48</v>
      </c>
    </row>
    <row r="13" spans="2:3" x14ac:dyDescent="0.25">
      <c r="C13" t="s">
        <v>49</v>
      </c>
    </row>
    <row r="14" spans="2:3" x14ac:dyDescent="0.25">
      <c r="B14" t="s">
        <v>10</v>
      </c>
    </row>
    <row r="15" spans="2:3" x14ac:dyDescent="0.25">
      <c r="B15" t="s">
        <v>50</v>
      </c>
    </row>
    <row r="16" spans="2:3" x14ac:dyDescent="0.25">
      <c r="B16" t="s">
        <v>51</v>
      </c>
    </row>
    <row r="17" spans="2:2" x14ac:dyDescent="0.25">
      <c r="B17" t="s">
        <v>52</v>
      </c>
    </row>
    <row r="18" spans="2:2" x14ac:dyDescent="0.25">
      <c r="B18" t="s">
        <v>53</v>
      </c>
    </row>
    <row r="19" spans="2:2" x14ac:dyDescent="0.25">
      <c r="B19" t="s">
        <v>54</v>
      </c>
    </row>
    <row r="20" spans="2:2" x14ac:dyDescent="0.25">
      <c r="B20" t="s">
        <v>55</v>
      </c>
    </row>
    <row r="21" spans="2:2" x14ac:dyDescent="0.25">
      <c r="B21" t="s">
        <v>11</v>
      </c>
    </row>
    <row r="22" spans="2:2" x14ac:dyDescent="0.25">
      <c r="B22" t="s">
        <v>56</v>
      </c>
    </row>
    <row r="23" spans="2:2" x14ac:dyDescent="0.25">
      <c r="B23" t="s">
        <v>57</v>
      </c>
    </row>
    <row r="24" spans="2:2" x14ac:dyDescent="0.25">
      <c r="B24" t="s">
        <v>58</v>
      </c>
    </row>
    <row r="25" spans="2:2" x14ac:dyDescent="0.25">
      <c r="B25" t="s">
        <v>59</v>
      </c>
    </row>
    <row r="26" spans="2:2" x14ac:dyDescent="0.25">
      <c r="B26" t="s">
        <v>60</v>
      </c>
    </row>
    <row r="27" spans="2:2" x14ac:dyDescent="0.25">
      <c r="B27" t="s">
        <v>61</v>
      </c>
    </row>
    <row r="28" spans="2:2" x14ac:dyDescent="0.25">
      <c r="B28" t="s">
        <v>12</v>
      </c>
    </row>
    <row r="29" spans="2:2" x14ac:dyDescent="0.25">
      <c r="B29" t="s">
        <v>62</v>
      </c>
    </row>
    <row r="30" spans="2:2" x14ac:dyDescent="0.25">
      <c r="B30" t="s">
        <v>63</v>
      </c>
    </row>
    <row r="31" spans="2:2" x14ac:dyDescent="0.25">
      <c r="B31" t="s">
        <v>64</v>
      </c>
    </row>
    <row r="32" spans="2:2" x14ac:dyDescent="0.25">
      <c r="B32" t="s">
        <v>65</v>
      </c>
    </row>
    <row r="33" spans="2:2" x14ac:dyDescent="0.25">
      <c r="B33" t="s">
        <v>66</v>
      </c>
    </row>
    <row r="34" spans="2:2" x14ac:dyDescent="0.25">
      <c r="B34" t="s">
        <v>67</v>
      </c>
    </row>
    <row r="35" spans="2:2" x14ac:dyDescent="0.25">
      <c r="B35" t="s">
        <v>13</v>
      </c>
    </row>
    <row r="36" spans="2:2" x14ac:dyDescent="0.25">
      <c r="B36" t="s">
        <v>68</v>
      </c>
    </row>
    <row r="37" spans="2:2" x14ac:dyDescent="0.25">
      <c r="B37" t="s">
        <v>69</v>
      </c>
    </row>
    <row r="38" spans="2:2" x14ac:dyDescent="0.25">
      <c r="B38" t="s">
        <v>70</v>
      </c>
    </row>
    <row r="39" spans="2:2" x14ac:dyDescent="0.25">
      <c r="B39" t="s">
        <v>71</v>
      </c>
    </row>
    <row r="40" spans="2:2" x14ac:dyDescent="0.25">
      <c r="B40" t="s">
        <v>72</v>
      </c>
    </row>
    <row r="41" spans="2:2" x14ac:dyDescent="0.25">
      <c r="B41" t="s">
        <v>73</v>
      </c>
    </row>
    <row r="42" spans="2:2" x14ac:dyDescent="0.25">
      <c r="B42" t="s">
        <v>14</v>
      </c>
    </row>
    <row r="43" spans="2:2" x14ac:dyDescent="0.25">
      <c r="B43" t="s">
        <v>74</v>
      </c>
    </row>
    <row r="44" spans="2:2" x14ac:dyDescent="0.25">
      <c r="B44" t="s">
        <v>75</v>
      </c>
    </row>
    <row r="45" spans="2:2" x14ac:dyDescent="0.25">
      <c r="B45" t="s">
        <v>76</v>
      </c>
    </row>
    <row r="46" spans="2:2" x14ac:dyDescent="0.25">
      <c r="B46" t="s">
        <v>77</v>
      </c>
    </row>
    <row r="47" spans="2:2" x14ac:dyDescent="0.25">
      <c r="B47" t="s">
        <v>78</v>
      </c>
    </row>
    <row r="48" spans="2:2" x14ac:dyDescent="0.25">
      <c r="B48" t="s">
        <v>79</v>
      </c>
    </row>
    <row r="49" spans="2:2" x14ac:dyDescent="0.25">
      <c r="B49" t="s">
        <v>15</v>
      </c>
    </row>
    <row r="50" spans="2:2" x14ac:dyDescent="0.25">
      <c r="B50" t="s">
        <v>16</v>
      </c>
    </row>
    <row r="51" spans="2:2" x14ac:dyDescent="0.25">
      <c r="B51" t="s">
        <v>80</v>
      </c>
    </row>
    <row r="52" spans="2:2" x14ac:dyDescent="0.25">
      <c r="B52" t="s">
        <v>81</v>
      </c>
    </row>
    <row r="53" spans="2:2" x14ac:dyDescent="0.25">
      <c r="B53" t="s">
        <v>82</v>
      </c>
    </row>
    <row r="54" spans="2:2" x14ac:dyDescent="0.25">
      <c r="B54" t="s">
        <v>83</v>
      </c>
    </row>
    <row r="55" spans="2:2" x14ac:dyDescent="0.25">
      <c r="B55" t="s">
        <v>84</v>
      </c>
    </row>
    <row r="56" spans="2:2" x14ac:dyDescent="0.25">
      <c r="B56" t="s">
        <v>85</v>
      </c>
    </row>
    <row r="57" spans="2:2" x14ac:dyDescent="0.25">
      <c r="B57" t="s">
        <v>15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Datensatz</vt:lpstr>
      <vt:lpstr>Protokoll LOO-Training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Nabrotzky, Toni</dc:creator>
  <cp:lastModifiedBy>Toni Nabrotzky</cp:lastModifiedBy>
  <dcterms:created xsi:type="dcterms:W3CDTF">2015-06-05T18:19:34Z</dcterms:created>
  <dcterms:modified xsi:type="dcterms:W3CDTF">2026-05-27T15:18:38Z</dcterms:modified>
</cp:coreProperties>
</file>