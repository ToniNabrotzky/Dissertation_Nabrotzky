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tonin\Downloads\"/>
    </mc:Choice>
  </mc:AlternateContent>
  <xr:revisionPtr revIDLastSave="0" documentId="13_ncr:1_{2DC638C0-F012-4BF5-A131-4A363EB2115E}" xr6:coauthVersionLast="47" xr6:coauthVersionMax="47" xr10:uidLastSave="{00000000-0000-0000-0000-000000000000}"/>
  <bookViews>
    <workbookView xWindow="-28920" yWindow="-120" windowWidth="29040" windowHeight="15720" xr2:uid="{00000000-000D-0000-FFFF-FFFF00000000}"/>
  </bookViews>
  <sheets>
    <sheet name="RBC-Konvertierung" sheetId="1" r:id="rId1"/>
    <sheet name="Protokoll LOO-Train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1" l="1"/>
  <c r="L29" i="1"/>
  <c r="W29" i="1"/>
  <c r="X30" i="1"/>
  <c r="X29" i="1"/>
  <c r="X28" i="1"/>
  <c r="W35" i="1"/>
  <c r="W34" i="1"/>
  <c r="W30" i="1"/>
  <c r="Y30" i="1"/>
  <c r="Y29" i="1"/>
  <c r="Z30" i="1"/>
  <c r="Z29" i="1"/>
  <c r="Z28" i="1"/>
  <c r="Y28" i="1"/>
  <c r="W28" i="1"/>
  <c r="Q34" i="1"/>
  <c r="P30" i="1"/>
  <c r="P29" i="1"/>
  <c r="P28" i="1"/>
  <c r="K28" i="1"/>
  <c r="H33" i="1"/>
  <c r="H28" i="1"/>
  <c r="W33" i="1"/>
  <c r="X33" i="1"/>
  <c r="Z26" i="1"/>
  <c r="Z25" i="1"/>
  <c r="Z24" i="1"/>
  <c r="Z23" i="1"/>
  <c r="Z22" i="1"/>
  <c r="Q5" i="1"/>
  <c r="Y35" i="1"/>
  <c r="X35" i="1"/>
  <c r="Q35" i="1"/>
  <c r="P35" i="1"/>
  <c r="O35" i="1"/>
  <c r="N35" i="1"/>
  <c r="Y34" i="1"/>
  <c r="X34" i="1"/>
  <c r="P34" i="1"/>
  <c r="O34" i="1"/>
  <c r="N34" i="1"/>
  <c r="Y33" i="1"/>
  <c r="K33" i="1"/>
  <c r="J33" i="1"/>
  <c r="I33" i="1"/>
  <c r="P33" i="1"/>
  <c r="J28" i="1"/>
  <c r="O28" i="1" s="1"/>
  <c r="I16" i="1"/>
  <c r="L16" i="1" s="1"/>
  <c r="I17" i="1"/>
  <c r="L17" i="1" s="1"/>
  <c r="I18" i="1"/>
  <c r="L18" i="1" s="1"/>
  <c r="I19" i="1"/>
  <c r="N19" i="1" s="1"/>
  <c r="I20" i="1"/>
  <c r="N20" i="1" s="1"/>
  <c r="I4" i="1"/>
  <c r="N4" i="1" s="1"/>
  <c r="I5" i="1"/>
  <c r="L5" i="1" s="1"/>
  <c r="I6" i="1"/>
  <c r="N6" i="1" s="1"/>
  <c r="I7" i="1"/>
  <c r="N7" i="1" s="1"/>
  <c r="I8" i="1"/>
  <c r="N8" i="1" s="1"/>
  <c r="L10" i="1"/>
  <c r="L11" i="1"/>
  <c r="L12" i="1"/>
  <c r="L13" i="1"/>
  <c r="L14" i="1"/>
  <c r="P20" i="1"/>
  <c r="O20" i="1"/>
  <c r="P19" i="1"/>
  <c r="O19" i="1"/>
  <c r="P18" i="1"/>
  <c r="O18" i="1"/>
  <c r="P17" i="1"/>
  <c r="O17" i="1"/>
  <c r="Q17" i="1" s="1"/>
  <c r="P16" i="1"/>
  <c r="O16" i="1"/>
  <c r="P14" i="1"/>
  <c r="O14" i="1"/>
  <c r="N14" i="1"/>
  <c r="P13" i="1"/>
  <c r="O13" i="1"/>
  <c r="N13" i="1"/>
  <c r="P12" i="1"/>
  <c r="O12" i="1"/>
  <c r="N12" i="1"/>
  <c r="P11" i="1"/>
  <c r="O11" i="1"/>
  <c r="N11" i="1"/>
  <c r="P10" i="1"/>
  <c r="O10" i="1"/>
  <c r="N10" i="1"/>
  <c r="O5" i="1"/>
  <c r="P5" i="1"/>
  <c r="O6" i="1"/>
  <c r="P6" i="1"/>
  <c r="O7" i="1"/>
  <c r="P7" i="1"/>
  <c r="O8" i="1"/>
  <c r="P8" i="1"/>
  <c r="O4" i="1"/>
  <c r="O29" i="1" s="1"/>
  <c r="P4" i="1"/>
  <c r="D28" i="1"/>
  <c r="D31" i="1" s="1"/>
  <c r="E28" i="1"/>
  <c r="E31" i="1" s="1"/>
  <c r="C28" i="1"/>
  <c r="C31" i="1" s="1"/>
  <c r="Z35" i="1" l="1"/>
  <c r="Z33" i="1"/>
  <c r="Z34" i="1"/>
  <c r="Q12" i="1"/>
  <c r="O30" i="1"/>
  <c r="I28" i="1"/>
  <c r="C33" i="1"/>
  <c r="O33" i="1"/>
  <c r="Q33" i="1" s="1"/>
  <c r="D33" i="1"/>
  <c r="E33" i="1"/>
  <c r="Q7" i="1"/>
  <c r="Q13" i="1"/>
  <c r="Q8" i="1"/>
  <c r="Q6" i="1"/>
  <c r="N17" i="1"/>
  <c r="N18" i="1"/>
  <c r="Q20" i="1"/>
  <c r="L4" i="1"/>
  <c r="L20" i="1"/>
  <c r="L19" i="1"/>
  <c r="L6" i="1"/>
  <c r="N16" i="1"/>
  <c r="Q4" i="1"/>
  <c r="L8" i="1"/>
  <c r="L7" i="1"/>
  <c r="N5" i="1"/>
  <c r="N29" i="1" s="1"/>
  <c r="Q18" i="1"/>
  <c r="Q10" i="1"/>
  <c r="Q11" i="1"/>
  <c r="Q14" i="1"/>
  <c r="Q16" i="1"/>
  <c r="Q19" i="1"/>
  <c r="N30" i="1" l="1"/>
  <c r="Q30" i="1"/>
  <c r="Q29" i="1"/>
  <c r="N28" i="1"/>
  <c r="N33" i="1"/>
  <c r="Q28" i="1"/>
</calcChain>
</file>

<file path=xl/sharedStrings.xml><?xml version="1.0" encoding="utf-8"?>
<sst xmlns="http://schemas.openxmlformats.org/spreadsheetml/2006/main" count="144" uniqueCount="131">
  <si>
    <t>Accuracy</t>
  </si>
  <si>
    <t>Precision</t>
  </si>
  <si>
    <t>Recall</t>
  </si>
  <si>
    <t>F1</t>
  </si>
  <si>
    <t>Parametrisches Modell Index_00250</t>
  </si>
  <si>
    <t>21_22 L_TWP_Tragwerksmodell</t>
  </si>
  <si>
    <t>23_24 LTWP-V__Dachtragwerk</t>
  </si>
  <si>
    <t>20220421MODEL REV01</t>
  </si>
  <si>
    <t>202102183458-Model</t>
  </si>
  <si>
    <t>Grethes-hus-bok-2</t>
  </si>
  <si>
    <t>--- Starte Fold 1 | Test-Modell: 202102183458-Model Graph.json ---</t>
  </si>
  <si>
    <t>--- Starte Fold 2 | Test-Modell: 20220421MODEL REV01 Graph.json ---</t>
  </si>
  <si>
    <t>--- Starte Fold 3 | Test-Modell: 21_22 L_TWP_Tragwerksmodell Graph.json ---</t>
  </si>
  <si>
    <t>--- Starte Fold 4 | Test-Modell: 23_24 LTWP-V__Dachtragwerk Graph.json ---</t>
  </si>
  <si>
    <t>--- Starte Fold 5 | Test-Modell: Grethes-hus-bok-2 Graph.json ---</t>
  </si>
  <si>
    <t>========================================</t>
  </si>
  <si>
    <t>LOO-KREUZVALIDIERUNG ABSCHLUSS</t>
  </si>
  <si>
    <t>Modellname</t>
  </si>
  <si>
    <t>Bauteile</t>
  </si>
  <si>
    <t>pot. Kanten</t>
  </si>
  <si>
    <t>GT-Kanten</t>
  </si>
  <si>
    <t>Prozent</t>
  </si>
  <si>
    <t>MIN</t>
  </si>
  <si>
    <t>MAX</t>
  </si>
  <si>
    <t>TP</t>
  </si>
  <si>
    <t>TN</t>
  </si>
  <si>
    <t>FP</t>
  </si>
  <si>
    <t>FN</t>
  </si>
  <si>
    <t>Recall = Trefferquote/Sensitivität</t>
  </si>
  <si>
    <t>F1-Score = Harmonisches Mittel</t>
  </si>
  <si>
    <t>TN = negativ vorhergesagt, tatsächlich negativ</t>
  </si>
  <si>
    <t>FN = negativ vorhergesagt, tatsächlich positiv --&gt; Übersehen, Kopplungsdefizit</t>
  </si>
  <si>
    <t>CONFIG:</t>
  </si>
  <si>
    <t>model_type: GINE</t>
  </si>
  <si>
    <t>hidden_dim: 128</t>
  </si>
  <si>
    <t>num_layers: 5</t>
  </si>
  <si>
    <t>activation: ELU</t>
  </si>
  <si>
    <t>dropout: 0.2</t>
  </si>
  <si>
    <t>lr: 0.001</t>
  </si>
  <si>
    <t>epochs: 500</t>
  </si>
  <si>
    <t>edge_dim: 1</t>
  </si>
  <si>
    <t>batch_size: 12</t>
  </si>
  <si>
    <t>threshold: 0.5</t>
  </si>
  <si>
    <t>node_features: origin, centroid, centroid_x, centroid_y, centroid_z, dimensions, norm_dimensions, area, volume, ratio_av, normed_x, normed_y, normed_z, entity_one_hot_idx</t>
  </si>
  <si>
    <t xml:space="preserve">  Epoch 100 | Loss: 0.5612 | Best Val-F1: 0.52</t>
  </si>
  <si>
    <t xml:space="preserve">  Epoch 200 | Loss: 0.5016 | Best Val-F1: 0.54</t>
  </si>
  <si>
    <t xml:space="preserve">  Epoch 300 | Loss: 0.4342 | Best Val-F1: 0.54</t>
  </si>
  <si>
    <t xml:space="preserve">  Epoch 400 | Loss: 0.4157 | Best Val-F1: 0.55</t>
  </si>
  <si>
    <t xml:space="preserve">  Epoch 500 | Loss: 0.3625 | Best Val-F1: 0.55</t>
  </si>
  <si>
    <t>RESULT Fold 1 (Threshold 0.5): Acc: 51.46%, F1: 0.55, Prec: 0.41, Rec: 0.85</t>
  </si>
  <si>
    <t xml:space="preserve">  Epoch 100 | Loss: 0.5213 | Best Val-F1: 0.69</t>
  </si>
  <si>
    <t xml:space="preserve">  Epoch 200 | Loss: 0.4463 | Best Val-F1: 0.69</t>
  </si>
  <si>
    <t xml:space="preserve">  Epoch 300 | Loss: 0.3881 | Best Val-F1: 0.69</t>
  </si>
  <si>
    <t xml:space="preserve">  Epoch 400 | Loss: 0.2890 | Best Val-F1: 0.69</t>
  </si>
  <si>
    <t xml:space="preserve">  Epoch 500 | Loss: 0.2550 | Best Val-F1: 0.69</t>
  </si>
  <si>
    <t>RESULT Fold 2 (Threshold 0.5): Acc: 56.14%, F1: 0.69, Prec: 0.54, Rec: 0.95</t>
  </si>
  <si>
    <t xml:space="preserve">  Epoch 100 | Loss: 0.5386 | Best Val-F1: 0.76</t>
  </si>
  <si>
    <t xml:space="preserve">  Epoch 200 | Loss: 0.4555 | Best Val-F1: 0.76</t>
  </si>
  <si>
    <t xml:space="preserve">  Epoch 300 | Loss: 0.3932 | Best Val-F1: 0.76</t>
  </si>
  <si>
    <t xml:space="preserve">  Epoch 400 | Loss: 0.3390 | Best Val-F1: 0.78</t>
  </si>
  <si>
    <t xml:space="preserve">  Epoch 500 | Loss: 0.2880 | Best Val-F1: 0.78</t>
  </si>
  <si>
    <t>RESULT Fold 3 (Threshold 0.5): Acc: 63.99%, F1: 0.78, Prec: 0.66, Rec: 0.94</t>
  </si>
  <si>
    <t xml:space="preserve">  Epoch 100 | Loss: 0.5792 | Best Val-F1: 0.87</t>
  </si>
  <si>
    <t xml:space="preserve">  Epoch 200 | Loss: 0.5068 | Best Val-F1: 0.87</t>
  </si>
  <si>
    <t xml:space="preserve">  Epoch 300 | Loss: 0.4542 | Best Val-F1: 0.87</t>
  </si>
  <si>
    <t xml:space="preserve">  Epoch 400 | Loss: 0.3951 | Best Val-F1: 0.87</t>
  </si>
  <si>
    <t xml:space="preserve">  Epoch 500 | Loss: 0.3414 | Best Val-F1: 0.87</t>
  </si>
  <si>
    <t>RESULT Fold 4 (Threshold 0.5): Acc: 78.29%, F1: 0.87, Prec: 0.81, Rec: 0.93</t>
  </si>
  <si>
    <t xml:space="preserve">  Epoch 100 | Loss: 0.5665 | Best Val-F1: 0.71</t>
  </si>
  <si>
    <t xml:space="preserve">  Epoch 200 | Loss: 0.5169 | Best Val-F1: 0.71</t>
  </si>
  <si>
    <t xml:space="preserve">  Epoch 300 | Loss: 0.4561 | Best Val-F1: 0.71</t>
  </si>
  <si>
    <t xml:space="preserve">  Epoch 400 | Loss: 0.3987 | Best Val-F1: 0.71</t>
  </si>
  <si>
    <t xml:space="preserve">  Epoch 500 | Loss: 0.3473 | Best Val-F1: 0.71</t>
  </si>
  <si>
    <t>RESULT Fold 5 (Threshold 0.5): Acc: 71.82%, F1: 0.71, Prec: 0.68, Rec: 0.75</t>
  </si>
  <si>
    <t>Anzahl Modelle: 5</t>
  </si>
  <si>
    <t>Durchschnittliche Accuracy:  64.34%</t>
  </si>
  <si>
    <t>Durchschnittlicher F1-Score: 0.72</t>
  </si>
  <si>
    <t>Durchschnittliche Precision: 0.62</t>
  </si>
  <si>
    <t>Durchschnittlicher Recall:    0.88</t>
  </si>
  <si>
    <t>Modelle gespeichert in: h:\2_2 GNN_Modellkonvertierung (Anwendungsrenze)\3 Model_Training\Test_00_DB5_DefaultSettings</t>
  </si>
  <si>
    <t>Lade 5 Graphen in den Speicher...</t>
  </si>
  <si>
    <t>TP = positiv vorhergesagt, tatsächlich positiv</t>
  </si>
  <si>
    <t>FP = positiv vorhergesagt, tatsächlich negativ --&gt; Fehlalarm, Überkopplung</t>
  </si>
  <si>
    <t>Accuracy = Trefferquote (Zuverlässigkeit aller Vorhersagen)</t>
  </si>
  <si>
    <t>Precision = Genauigkeit (Zuverlässigkeit der positiven Vorhersagen -_&gt; verhindert Fehlalarme)</t>
  </si>
  <si>
    <t>1. Accuracy (Trefferquote)</t>
  </si>
  <si>
    <r>
      <t>Was es bedeutet:</t>
    </r>
    <r>
      <rPr>
        <sz val="12"/>
        <color theme="1"/>
        <rFont val="Arial"/>
        <family val="2"/>
      </rPr>
      <t xml:space="preserve"> Wie oft liegt das Modell insgesamt richtig?</t>
    </r>
  </si>
  <si>
    <r>
      <t>Einfach erklärt:</t>
    </r>
    <r>
      <rPr>
        <sz val="12"/>
        <color theme="1"/>
        <rFont val="Arial"/>
        <family val="2"/>
      </rPr>
      <t xml:space="preserve"> Der Filter bewertet 100 E-Mails (Spam und normale Mails). Wenn er bei 90 Mails richtig rät, liegt die Accuracy bei 90 %.</t>
    </r>
  </si>
  <si>
    <r>
      <t>Das Problem:</t>
    </r>
    <r>
      <rPr>
        <sz val="12"/>
        <color theme="1"/>
        <rFont val="Arial"/>
        <family val="2"/>
      </rPr>
      <t xml:space="preserve"> Wenn 99 von 100 Mails normal sind und der Filter einfach </t>
    </r>
    <r>
      <rPr>
        <i/>
        <sz val="12"/>
        <color theme="1"/>
        <rFont val="Arial"/>
        <family val="2"/>
      </rPr>
      <t>niemals</t>
    </r>
    <r>
      <rPr>
        <sz val="12"/>
        <color theme="1"/>
        <rFont val="Arial"/>
        <family val="2"/>
      </rPr>
      <t xml:space="preserve"> Spam erkennt, hat er trotzdem 99 % Accuracy. Er ist aber trotzdem nutzlos für Spam. [1, 2, 3]</t>
    </r>
  </si>
  <si>
    <t>2. Precision (Genauigkeit)</t>
  </si>
  <si>
    <r>
      <t>Was es bedeutet:</t>
    </r>
    <r>
      <rPr>
        <sz val="12"/>
        <color theme="1"/>
        <rFont val="Arial"/>
        <family val="2"/>
      </rPr>
      <t xml:space="preserve"> Wenn das Modell "Spam" sagt, wie oft stimmt das auch?</t>
    </r>
  </si>
  <si>
    <r>
      <t>Einfach erklärt:</t>
    </r>
    <r>
      <rPr>
        <sz val="12"/>
        <color theme="1"/>
        <rFont val="Arial"/>
        <family val="2"/>
      </rPr>
      <t xml:space="preserve"> Der Filter sortiert 10 Mails in den Spam-Ordner. Wenn 9 davon wirklich Spam sind und 1 eine wichtige Mail vom Chef war, liegt die Precision bei 90 %.</t>
    </r>
  </si>
  <si>
    <r>
      <t>Ziel:</t>
    </r>
    <r>
      <rPr>
        <sz val="12"/>
        <color theme="1"/>
        <rFont val="Arial"/>
        <family val="2"/>
      </rPr>
      <t xml:space="preserve"> Hohe Precision verhindert falschen Alarm (z. B. dass wichtige Mails gelöscht werden).</t>
    </r>
  </si>
  <si>
    <t>3. Recall (Trefferquote / Sensitivität)</t>
  </si>
  <si>
    <r>
      <t>Was es bedeutet:</t>
    </r>
    <r>
      <rPr>
        <sz val="12"/>
        <color theme="1"/>
        <rFont val="Arial"/>
        <family val="2"/>
      </rPr>
      <t xml:space="preserve"> Wie viel vom echten Spam hat das Modell überhaupt gefunden?</t>
    </r>
  </si>
  <si>
    <r>
      <t>Einfach erklärt:</t>
    </r>
    <r>
      <rPr>
        <sz val="12"/>
        <color theme="1"/>
        <rFont val="Arial"/>
        <family val="2"/>
      </rPr>
      <t xml:space="preserve"> Es gibt insgesamt 10 echte Spam-Mails in Ihrem Postfach. Der Filter findet davon nur 7 (die anderen 3 landen im normalen Posteingang). Der Recall liegt bei 70 %.</t>
    </r>
  </si>
  <si>
    <t>Ziel: Hoher Recall sorgt dafür, dass Ihnen nichts durchrutscht (wichtig z. B. bei medizinischen Tests, wo man keine Krankheit übersehen darf). [1]</t>
  </si>
  <si>
    <t>4. F1-Score (Der Kompromiss) [1]</t>
  </si>
  <si>
    <r>
      <t>Was es bedeutet:</t>
    </r>
    <r>
      <rPr>
        <sz val="12"/>
        <color theme="1"/>
        <rFont val="Arial"/>
        <family val="2"/>
      </rPr>
      <t xml:space="preserve"> Der mathematische Mittelwert aus Precision und Recall.</t>
    </r>
  </si>
  <si>
    <r>
      <t>Einfach erklärt:</t>
    </r>
    <r>
      <rPr>
        <sz val="12"/>
        <color theme="1"/>
        <rFont val="Arial"/>
        <family val="2"/>
      </rPr>
      <t xml:space="preserve"> Oft sinkt die Precision, wenn der Recall steigt (und umgekehrt). Wenn Sie einen Filter wollen, der sowohl wenig falschen Alarm schlägt (Precision) als auch fast jeden Spam findet (Recall), schauen Sie auf den F1-Score.</t>
    </r>
  </si>
  <si>
    <r>
      <rPr>
        <b/>
        <u/>
        <sz val="12"/>
        <color theme="10"/>
        <rFont val="Arial"/>
        <family val="2"/>
      </rPr>
      <t>Ziel</t>
    </r>
    <r>
      <rPr>
        <u/>
        <sz val="12"/>
        <color theme="10"/>
        <rFont val="Arial"/>
        <family val="2"/>
      </rPr>
      <t>: Ein hoher F1-Score zeigt, dass das Modell eine gute Balance zwischen beiden Welten hat. [1]</t>
    </r>
  </si>
  <si>
    <t>21_22 L_TWP_Tragwerksmodell Graph</t>
  </si>
  <si>
    <t>23_24 LTWP-V__Dachtragwerk Graph</t>
  </si>
  <si>
    <t>20220421MODEL REV01 Graph</t>
  </si>
  <si>
    <t>202102183458-Model Graph</t>
  </si>
  <si>
    <t>Grethes-hus-bok-2 Graph</t>
  </si>
  <si>
    <t>model_1 Graph</t>
  </si>
  <si>
    <t>model_4 Graph</t>
  </si>
  <si>
    <t>model_7 Graph</t>
  </si>
  <si>
    <t>model_8 Graph</t>
  </si>
  <si>
    <t>model_9 Graph</t>
  </si>
  <si>
    <t>Parametrisches Modell Index_00000 Graph</t>
  </si>
  <si>
    <t>Parametrisches Modell Index_00050 Graph</t>
  </si>
  <si>
    <t>Parametrisches Modell Index_00055 Graph</t>
  </si>
  <si>
    <t>Parametrisches Modell Index_00100 Graph</t>
  </si>
  <si>
    <t>Parametrisches Modell Index_00250 Graph</t>
  </si>
  <si>
    <t>Hier wurden Distanzen von m nicht immer in mm umgewandelt, also sond Approximity-Werte falsch!</t>
  </si>
  <si>
    <t>Keine TPs! Aber warum? Ähnlich wie die 1D/2D-Modelle..? --&gt; 2.353 nach manueller Suche mit Strg+F</t>
  </si>
  <si>
    <t>TN (Aus altem Versuch mit Kombination aller Kanten ohne 3m-Grenze)</t>
  </si>
  <si>
    <t>TP_Ratio</t>
  </si>
  <si>
    <t xml:space="preserve"> </t>
  </si>
  <si>
    <t>…</t>
  </si>
  <si>
    <t>Min:</t>
  </si>
  <si>
    <t>Max:</t>
  </si>
  <si>
    <t>Phantasie_1</t>
  </si>
  <si>
    <t>Phantasie_2</t>
  </si>
  <si>
    <t>Phantasie_3</t>
  </si>
  <si>
    <t>Phantasie_4</t>
  </si>
  <si>
    <t>Phantasie_5</t>
  </si>
  <si>
    <t>Gesamtwerte (real):</t>
  </si>
  <si>
    <t>Gesamtwerte (real+Phantasie):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</si>
</sst>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Arial"/>
      <family val="2"/>
    </font>
    <font>
      <sz val="12"/>
      <color theme="1"/>
      <name val="Arial"/>
      <family val="2"/>
    </font>
    <font>
      <i/>
      <sz val="12"/>
      <color theme="1"/>
      <name val="Arial"/>
      <family val="2"/>
    </font>
    <font>
      <u/>
      <sz val="11"/>
      <color theme="10"/>
      <name val="Calibri"/>
      <family val="2"/>
      <scheme val="minor"/>
    </font>
    <font>
      <b/>
      <sz val="15"/>
      <color theme="1"/>
      <name val="Arial"/>
      <family val="2"/>
    </font>
    <font>
      <b/>
      <u/>
      <sz val="15"/>
      <color theme="10"/>
      <name val="Arial"/>
      <family val="2"/>
    </font>
    <font>
      <u/>
      <sz val="12"/>
      <color theme="10"/>
      <name val="Arial"/>
      <family val="2"/>
    </font>
    <font>
      <b/>
      <u/>
      <sz val="12"/>
      <color theme="10"/>
      <name val="Arial"/>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19">
    <xf numFmtId="0" fontId="0" fillId="0" borderId="0" xfId="0"/>
    <xf numFmtId="0" fontId="0" fillId="0" borderId="0" xfId="0" applyAlignment="1">
      <alignment vertical="center"/>
    </xf>
    <xf numFmtId="0" fontId="0" fillId="0" borderId="0" xfId="0" applyAlignment="1">
      <alignment vertical="center" wrapText="1"/>
    </xf>
    <xf numFmtId="9" fontId="0" fillId="0" borderId="0" xfId="0" applyNumberFormat="1" applyAlignment="1">
      <alignment vertical="center"/>
    </xf>
    <xf numFmtId="0" fontId="2" fillId="0" borderId="0" xfId="0" applyFont="1" applyAlignment="1">
      <alignment vertical="center"/>
    </xf>
    <xf numFmtId="0" fontId="4" fillId="0" borderId="0" xfId="0" applyFont="1" applyAlignment="1">
      <alignment horizontal="left" vertical="center"/>
    </xf>
    <xf numFmtId="0" fontId="6" fillId="0" borderId="0" xfId="2" applyAlignment="1">
      <alignment horizontal="left" vertical="center"/>
    </xf>
    <xf numFmtId="0" fontId="7" fillId="0" borderId="0" xfId="0" applyFont="1" applyAlignment="1">
      <alignment vertical="center"/>
    </xf>
    <xf numFmtId="0" fontId="8" fillId="0" borderId="0" xfId="2" applyFont="1" applyAlignment="1">
      <alignment vertical="center"/>
    </xf>
    <xf numFmtId="0" fontId="9" fillId="0" borderId="0" xfId="2" applyFont="1" applyAlignment="1">
      <alignment horizontal="left" vertical="center"/>
    </xf>
    <xf numFmtId="164" fontId="0" fillId="0" borderId="0" xfId="1" applyNumberFormat="1" applyFont="1" applyAlignment="1">
      <alignment vertical="center"/>
    </xf>
    <xf numFmtId="3" fontId="0" fillId="0" borderId="0" xfId="0" applyNumberFormat="1" applyAlignment="1">
      <alignment vertical="center"/>
    </xf>
    <xf numFmtId="3" fontId="0" fillId="2" borderId="0" xfId="0" applyNumberFormat="1" applyFill="1" applyAlignment="1">
      <alignment vertical="center"/>
    </xf>
    <xf numFmtId="0" fontId="2" fillId="3" borderId="0" xfId="0" applyFont="1" applyFill="1" applyAlignment="1">
      <alignment vertical="center"/>
    </xf>
    <xf numFmtId="0" fontId="2" fillId="3" borderId="0" xfId="0" applyFont="1" applyFill="1" applyAlignment="1">
      <alignment vertical="center" wrapText="1"/>
    </xf>
    <xf numFmtId="3" fontId="2" fillId="3" borderId="0" xfId="0" applyNumberFormat="1" applyFont="1" applyFill="1" applyAlignment="1">
      <alignment vertical="center"/>
    </xf>
    <xf numFmtId="164" fontId="2" fillId="3" borderId="0" xfId="1" applyNumberFormat="1" applyFont="1" applyFill="1" applyAlignment="1">
      <alignment vertical="center"/>
    </xf>
    <xf numFmtId="164" fontId="0" fillId="3" borderId="0" xfId="0" applyNumberFormat="1" applyFill="1" applyAlignment="1">
      <alignment vertical="center"/>
    </xf>
    <xf numFmtId="164" fontId="2" fillId="3" borderId="0" xfId="0" applyNumberFormat="1" applyFont="1" applyFill="1" applyAlignment="1">
      <alignment vertical="center"/>
    </xf>
  </cellXfs>
  <cellStyles count="3">
    <cellStyle name="Link" xfId="2" builtinId="8"/>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e-transformation-weiterbildung.ch/digitalisierung-lexikon/precision-recall-tradeoff/" TargetMode="External"/><Relationship Id="rId2" Type="http://schemas.openxmlformats.org/officeDocument/2006/relationships/hyperlink" Target="https://www.flowhunt.io/de/glossar/f1-score/" TargetMode="External"/><Relationship Id="rId1" Type="http://schemas.openxmlformats.org/officeDocument/2006/relationships/hyperlink" Target="https://www.flowhunt.io/de/glossar/recall-in-machine-learning/"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Z63"/>
  <sheetViews>
    <sheetView tabSelected="1" topLeftCell="G1" workbookViewId="0">
      <selection activeCell="L25" sqref="L25"/>
    </sheetView>
  </sheetViews>
  <sheetFormatPr baseColWidth="10" defaultColWidth="9.140625" defaultRowHeight="15" x14ac:dyDescent="0.25"/>
  <cols>
    <col min="1" max="1" width="9.140625" style="1"/>
    <col min="2" max="2" width="33.28515625" style="1" bestFit="1" customWidth="1"/>
    <col min="3" max="6" width="9.140625" style="1"/>
    <col min="7" max="7" width="47.5703125" style="2" customWidth="1"/>
    <col min="8" max="16384" width="9.140625" style="1"/>
  </cols>
  <sheetData>
    <row r="3" spans="2:26" s="13" customFormat="1" x14ac:dyDescent="0.25">
      <c r="G3" s="14" t="s">
        <v>17</v>
      </c>
      <c r="H3" s="13" t="s">
        <v>24</v>
      </c>
      <c r="I3" s="13" t="s">
        <v>25</v>
      </c>
      <c r="J3" s="13" t="s">
        <v>26</v>
      </c>
      <c r="K3" s="13" t="s">
        <v>27</v>
      </c>
      <c r="L3" s="13" t="s">
        <v>119</v>
      </c>
      <c r="N3" s="13" t="s">
        <v>0</v>
      </c>
      <c r="O3" s="13" t="s">
        <v>1</v>
      </c>
      <c r="P3" s="13" t="s">
        <v>2</v>
      </c>
      <c r="Q3" s="13" t="s">
        <v>3</v>
      </c>
      <c r="S3" s="13" t="s">
        <v>118</v>
      </c>
      <c r="U3" s="13" t="s">
        <v>120</v>
      </c>
      <c r="V3" s="13" t="s">
        <v>120</v>
      </c>
      <c r="W3" s="13" t="s">
        <v>0</v>
      </c>
      <c r="X3" s="13" t="s">
        <v>1</v>
      </c>
      <c r="Y3" s="13" t="s">
        <v>2</v>
      </c>
      <c r="Z3" s="13" t="s">
        <v>3</v>
      </c>
    </row>
    <row r="4" spans="2:26" x14ac:dyDescent="0.25">
      <c r="G4" s="2" t="s">
        <v>101</v>
      </c>
      <c r="H4" s="11">
        <v>320</v>
      </c>
      <c r="I4" s="12">
        <f>511-SUM(H4,J4:K4)</f>
        <v>171</v>
      </c>
      <c r="J4" s="11">
        <v>0</v>
      </c>
      <c r="K4" s="11">
        <v>20</v>
      </c>
      <c r="L4" s="10">
        <f>SUM(H4,K4)/SUM(H4:K4)</f>
        <v>0.66536203522504889</v>
      </c>
      <c r="N4" s="10">
        <f>SUM(H4,I4)/SUM(H4,I4,J4,K4)</f>
        <v>0.96086105675146771</v>
      </c>
      <c r="O4" s="10">
        <f>SUM(H4)/SUM(H4,J4)</f>
        <v>1</v>
      </c>
      <c r="P4" s="10">
        <f>SUM(H4)/SUM(H4,K4)</f>
        <v>0.94117647058823528</v>
      </c>
      <c r="Q4" s="10">
        <f>2*O4*P4/(O4+P4)</f>
        <v>0.96969696969696972</v>
      </c>
      <c r="S4" s="12">
        <v>2741</v>
      </c>
      <c r="T4" s="12">
        <v>171</v>
      </c>
      <c r="U4" s="1" t="s">
        <v>116</v>
      </c>
      <c r="W4" s="10">
        <v>0.65169999999999995</v>
      </c>
      <c r="X4" s="10">
        <v>0.68</v>
      </c>
      <c r="Y4" s="10">
        <v>0.89</v>
      </c>
      <c r="Z4" s="10">
        <v>0.77</v>
      </c>
    </row>
    <row r="5" spans="2:26" x14ac:dyDescent="0.25">
      <c r="G5" s="2" t="s">
        <v>102</v>
      </c>
      <c r="H5" s="11">
        <v>275</v>
      </c>
      <c r="I5" s="12">
        <f>456-SUM(H5,J5:K5)</f>
        <v>105</v>
      </c>
      <c r="J5" s="11">
        <v>0</v>
      </c>
      <c r="K5" s="11">
        <v>76</v>
      </c>
      <c r="L5" s="10">
        <f t="shared" ref="L5:L20" si="0">SUM(H5,K5)/SUM(H5:K5)</f>
        <v>0.76973684210526316</v>
      </c>
      <c r="N5" s="10">
        <f t="shared" ref="N5:N8" si="1">SUM(H5,I5)/SUM(H5,I5,J5,K5)</f>
        <v>0.83333333333333337</v>
      </c>
      <c r="O5" s="10">
        <f t="shared" ref="O5:O8" si="2">SUM(H5)/SUM(H5,J5)</f>
        <v>1</v>
      </c>
      <c r="P5" s="10">
        <f t="shared" ref="P5:P8" si="3">SUM(H5)/SUM(H5,K5)</f>
        <v>0.7834757834757835</v>
      </c>
      <c r="Q5" s="10">
        <f>2*O5*P5/(O5+P5)</f>
        <v>0.87859424920127793</v>
      </c>
      <c r="S5" s="12">
        <v>9660</v>
      </c>
      <c r="T5" s="12">
        <v>105</v>
      </c>
      <c r="W5" s="10">
        <v>0.76319999999999999</v>
      </c>
      <c r="X5" s="10">
        <v>0.76</v>
      </c>
      <c r="Y5" s="10">
        <v>1</v>
      </c>
      <c r="Z5" s="10">
        <v>0.87</v>
      </c>
    </row>
    <row r="6" spans="2:26" x14ac:dyDescent="0.25">
      <c r="G6" s="2" t="s">
        <v>103</v>
      </c>
      <c r="H6" s="11">
        <v>523</v>
      </c>
      <c r="I6" s="12">
        <f>1286-SUM(H6,J6:K6)</f>
        <v>636</v>
      </c>
      <c r="J6" s="11">
        <v>0</v>
      </c>
      <c r="K6" s="11">
        <v>127</v>
      </c>
      <c r="L6" s="10">
        <f t="shared" si="0"/>
        <v>0.50544323483670295</v>
      </c>
      <c r="N6" s="10">
        <f t="shared" si="1"/>
        <v>0.90124416796267492</v>
      </c>
      <c r="O6" s="10">
        <f t="shared" si="2"/>
        <v>1</v>
      </c>
      <c r="P6" s="10">
        <f t="shared" si="3"/>
        <v>0.80461538461538462</v>
      </c>
      <c r="Q6" s="10">
        <f t="shared" ref="Q5:Q8" si="4">2*O6*P6/(O6+P6)</f>
        <v>0.89173060528559256</v>
      </c>
      <c r="S6" s="12">
        <v>30475</v>
      </c>
      <c r="T6" s="12">
        <v>636</v>
      </c>
      <c r="W6" s="10">
        <v>0.5575</v>
      </c>
      <c r="X6" s="10">
        <v>0.53</v>
      </c>
      <c r="Y6" s="10">
        <v>0.94</v>
      </c>
      <c r="Z6" s="10">
        <v>0.68</v>
      </c>
    </row>
    <row r="7" spans="2:26" x14ac:dyDescent="0.25">
      <c r="G7" s="2" t="s">
        <v>104</v>
      </c>
      <c r="H7" s="11">
        <v>169</v>
      </c>
      <c r="I7" s="12">
        <f>739-SUM(H7,J7:K7)</f>
        <v>471</v>
      </c>
      <c r="J7" s="11">
        <v>17</v>
      </c>
      <c r="K7" s="11">
        <v>82</v>
      </c>
      <c r="L7" s="10">
        <f t="shared" si="0"/>
        <v>0.33964817320703655</v>
      </c>
      <c r="N7" s="10">
        <f t="shared" si="1"/>
        <v>0.86603518267929636</v>
      </c>
      <c r="O7" s="10">
        <f t="shared" si="2"/>
        <v>0.90860215053763438</v>
      </c>
      <c r="P7" s="10">
        <f t="shared" si="3"/>
        <v>0.67330677290836649</v>
      </c>
      <c r="Q7" s="10">
        <f t="shared" si="4"/>
        <v>0.77345537757437066</v>
      </c>
      <c r="S7" s="12">
        <v>4197</v>
      </c>
      <c r="T7" s="12">
        <v>471</v>
      </c>
      <c r="W7" s="10">
        <v>0.3342</v>
      </c>
      <c r="X7" s="10">
        <v>0.33</v>
      </c>
      <c r="Y7" s="10">
        <v>1</v>
      </c>
      <c r="Z7" s="10">
        <v>0.5</v>
      </c>
    </row>
    <row r="8" spans="2:26" x14ac:dyDescent="0.25">
      <c r="G8" s="2" t="s">
        <v>105</v>
      </c>
      <c r="H8" s="11">
        <v>51</v>
      </c>
      <c r="I8" s="12">
        <f>110-SUM(H8,J8:K8)</f>
        <v>58</v>
      </c>
      <c r="J8" s="11">
        <v>0</v>
      </c>
      <c r="K8" s="11">
        <v>1</v>
      </c>
      <c r="L8" s="10">
        <f t="shared" si="0"/>
        <v>0.47272727272727272</v>
      </c>
      <c r="N8" s="10">
        <f t="shared" si="1"/>
        <v>0.99090909090909096</v>
      </c>
      <c r="O8" s="10">
        <f t="shared" si="2"/>
        <v>1</v>
      </c>
      <c r="P8" s="10">
        <f t="shared" si="3"/>
        <v>0.98076923076923073</v>
      </c>
      <c r="Q8" s="10">
        <f t="shared" si="4"/>
        <v>0.99029126213592222</v>
      </c>
      <c r="S8" s="12">
        <v>413</v>
      </c>
      <c r="T8" s="12">
        <v>58</v>
      </c>
      <c r="W8" s="10">
        <v>0.72729999999999995</v>
      </c>
      <c r="X8" s="10">
        <v>0.64</v>
      </c>
      <c r="Y8" s="10">
        <v>0.92</v>
      </c>
      <c r="Z8" s="10">
        <v>0.76</v>
      </c>
    </row>
    <row r="9" spans="2:26" x14ac:dyDescent="0.25">
      <c r="H9" s="11"/>
      <c r="I9" s="11"/>
      <c r="J9" s="11"/>
      <c r="K9" s="11"/>
      <c r="L9" s="10"/>
      <c r="S9" s="11"/>
      <c r="T9" s="11"/>
      <c r="W9" s="10"/>
      <c r="X9" s="10"/>
      <c r="Y9" s="10"/>
      <c r="Z9" s="10"/>
    </row>
    <row r="10" spans="2:26" x14ac:dyDescent="0.25">
      <c r="G10" s="2" t="s">
        <v>106</v>
      </c>
      <c r="H10" s="11">
        <v>478</v>
      </c>
      <c r="I10" s="11">
        <v>1516</v>
      </c>
      <c r="J10" s="11">
        <v>48</v>
      </c>
      <c r="K10" s="11">
        <v>353</v>
      </c>
      <c r="L10" s="10">
        <f t="shared" si="0"/>
        <v>0.34697286012526096</v>
      </c>
      <c r="N10" s="10">
        <f t="shared" ref="N10:N14" si="5">SUM(H10,I10)/SUM(H10,I10,J10,K10)</f>
        <v>0.83256784968684761</v>
      </c>
      <c r="O10" s="10">
        <f t="shared" ref="O10:O14" si="6">SUM(H10)/SUM(H10,J10)</f>
        <v>0.90874524714828897</v>
      </c>
      <c r="P10" s="10">
        <f t="shared" ref="P10:P14" si="7">SUM(H10)/SUM(H10,K10)</f>
        <v>0.5752105896510229</v>
      </c>
      <c r="Q10" s="10">
        <f t="shared" ref="Q10:Q14" si="8">2*O10*P10/(O10+P10)</f>
        <v>0.70449521002210747</v>
      </c>
      <c r="S10" s="11">
        <v>1516</v>
      </c>
      <c r="T10" s="11">
        <v>1516</v>
      </c>
      <c r="U10" s="11"/>
      <c r="W10" s="10">
        <v>0.72570000000000001</v>
      </c>
      <c r="X10" s="10">
        <v>0.6</v>
      </c>
      <c r="Y10" s="10">
        <v>0.64</v>
      </c>
      <c r="Z10" s="10">
        <v>0.62</v>
      </c>
    </row>
    <row r="11" spans="2:26" x14ac:dyDescent="0.25">
      <c r="G11" s="2" t="s">
        <v>107</v>
      </c>
      <c r="H11" s="12">
        <v>2353</v>
      </c>
      <c r="I11" s="11">
        <v>4896</v>
      </c>
      <c r="J11" s="11">
        <v>893</v>
      </c>
      <c r="K11" s="11">
        <v>0</v>
      </c>
      <c r="L11" s="10">
        <f t="shared" si="0"/>
        <v>0.28899533284205353</v>
      </c>
      <c r="N11" s="10">
        <f t="shared" si="5"/>
        <v>0.89032178825841313</v>
      </c>
      <c r="O11" s="10">
        <f t="shared" si="6"/>
        <v>0.72489217498459646</v>
      </c>
      <c r="P11" s="10">
        <f t="shared" si="7"/>
        <v>1</v>
      </c>
      <c r="Q11" s="10">
        <f t="shared" si="8"/>
        <v>0.84050723343454192</v>
      </c>
      <c r="S11" s="11">
        <v>4896</v>
      </c>
      <c r="T11" s="11">
        <v>4896</v>
      </c>
      <c r="U11" s="1" t="s">
        <v>117</v>
      </c>
      <c r="W11" s="10" t="s">
        <v>121</v>
      </c>
      <c r="X11" s="10" t="s">
        <v>121</v>
      </c>
      <c r="Y11" s="10" t="s">
        <v>121</v>
      </c>
      <c r="Z11" s="10" t="s">
        <v>121</v>
      </c>
    </row>
    <row r="12" spans="2:26" x14ac:dyDescent="0.25">
      <c r="G12" s="2" t="s">
        <v>108</v>
      </c>
      <c r="H12" s="11">
        <v>103</v>
      </c>
      <c r="I12" s="11">
        <v>198</v>
      </c>
      <c r="J12" s="11">
        <v>26</v>
      </c>
      <c r="K12" s="11">
        <v>19</v>
      </c>
      <c r="L12" s="10">
        <f t="shared" si="0"/>
        <v>0.35260115606936415</v>
      </c>
      <c r="N12" s="10">
        <f t="shared" si="5"/>
        <v>0.86994219653179194</v>
      </c>
      <c r="O12" s="10">
        <f t="shared" si="6"/>
        <v>0.79844961240310075</v>
      </c>
      <c r="P12" s="10">
        <f t="shared" si="7"/>
        <v>0.84426229508196726</v>
      </c>
      <c r="Q12" s="10">
        <f t="shared" si="8"/>
        <v>0.82071713147410363</v>
      </c>
      <c r="S12" s="11">
        <v>198</v>
      </c>
      <c r="T12" s="11">
        <v>198</v>
      </c>
      <c r="W12" s="10">
        <v>0.68500000000000005</v>
      </c>
      <c r="X12" s="10">
        <v>0.54</v>
      </c>
      <c r="Y12" s="10">
        <v>0.8</v>
      </c>
      <c r="Z12" s="10">
        <v>0.64</v>
      </c>
    </row>
    <row r="13" spans="2:26" x14ac:dyDescent="0.25">
      <c r="B13" s="1" t="s">
        <v>17</v>
      </c>
      <c r="C13" s="1" t="s">
        <v>18</v>
      </c>
      <c r="D13" s="1" t="s">
        <v>19</v>
      </c>
      <c r="E13" s="1" t="s">
        <v>20</v>
      </c>
      <c r="F13" s="1" t="s">
        <v>21</v>
      </c>
      <c r="G13" s="2" t="s">
        <v>109</v>
      </c>
      <c r="H13" s="11">
        <v>144</v>
      </c>
      <c r="I13" s="11">
        <v>366</v>
      </c>
      <c r="J13" s="11">
        <v>20</v>
      </c>
      <c r="K13" s="11">
        <v>110</v>
      </c>
      <c r="L13" s="10">
        <f t="shared" si="0"/>
        <v>0.39687499999999998</v>
      </c>
      <c r="N13" s="10">
        <f t="shared" si="5"/>
        <v>0.796875</v>
      </c>
      <c r="O13" s="10">
        <f t="shared" si="6"/>
        <v>0.87804878048780488</v>
      </c>
      <c r="P13" s="10">
        <f t="shared" si="7"/>
        <v>0.56692913385826771</v>
      </c>
      <c r="Q13" s="10">
        <f t="shared" si="8"/>
        <v>0.68899521531100472</v>
      </c>
      <c r="S13" s="11">
        <v>366</v>
      </c>
      <c r="T13" s="11">
        <v>366</v>
      </c>
      <c r="W13" s="10">
        <v>0.74529999999999996</v>
      </c>
      <c r="X13" s="10">
        <v>0.63</v>
      </c>
      <c r="Y13" s="10">
        <v>0.88</v>
      </c>
      <c r="Z13" s="10">
        <v>0.73</v>
      </c>
    </row>
    <row r="14" spans="2:26" x14ac:dyDescent="0.25">
      <c r="B14" s="1" t="s">
        <v>4</v>
      </c>
      <c r="C14" s="1">
        <v>203</v>
      </c>
      <c r="D14" s="1">
        <v>1225</v>
      </c>
      <c r="E14" s="1">
        <v>616</v>
      </c>
      <c r="F14" s="3">
        <v>0.5</v>
      </c>
      <c r="G14" s="2" t="s">
        <v>110</v>
      </c>
      <c r="H14" s="11">
        <v>91</v>
      </c>
      <c r="I14" s="11">
        <v>84</v>
      </c>
      <c r="J14" s="11">
        <v>0</v>
      </c>
      <c r="K14" s="11">
        <v>15</v>
      </c>
      <c r="L14" s="10">
        <f t="shared" si="0"/>
        <v>0.55789473684210522</v>
      </c>
      <c r="N14" s="10">
        <f t="shared" si="5"/>
        <v>0.92105263157894735</v>
      </c>
      <c r="O14" s="10">
        <f t="shared" si="6"/>
        <v>1</v>
      </c>
      <c r="P14" s="10">
        <f t="shared" si="7"/>
        <v>0.85849056603773588</v>
      </c>
      <c r="Q14" s="10">
        <f t="shared" si="8"/>
        <v>0.92385786802030456</v>
      </c>
      <c r="S14" s="11">
        <v>84</v>
      </c>
      <c r="T14" s="11">
        <v>84</v>
      </c>
      <c r="W14" s="10">
        <v>0.73160000000000003</v>
      </c>
      <c r="X14" s="10">
        <v>0.7</v>
      </c>
      <c r="Y14" s="10">
        <v>0.92</v>
      </c>
      <c r="Z14" s="10">
        <v>0.79</v>
      </c>
    </row>
    <row r="15" spans="2:26" x14ac:dyDescent="0.25">
      <c r="F15" s="3"/>
      <c r="H15" s="11"/>
      <c r="I15" s="11"/>
      <c r="J15" s="11"/>
      <c r="K15" s="11"/>
      <c r="L15" s="10"/>
      <c r="W15" s="10"/>
      <c r="X15" s="10"/>
      <c r="Y15" s="10"/>
      <c r="Z15" s="10"/>
    </row>
    <row r="16" spans="2:26" x14ac:dyDescent="0.25">
      <c r="G16" s="2" t="s">
        <v>111</v>
      </c>
      <c r="H16" s="11">
        <v>230</v>
      </c>
      <c r="I16" s="12">
        <f>622-SUM(H16,J16:K16)</f>
        <v>392</v>
      </c>
      <c r="J16" s="11">
        <v>0</v>
      </c>
      <c r="K16" s="11">
        <v>0</v>
      </c>
      <c r="L16" s="10">
        <f t="shared" si="0"/>
        <v>0.36977491961414793</v>
      </c>
      <c r="N16" s="10">
        <f t="shared" ref="N16:N20" si="9">SUM(H16,I16)/SUM(H16,I16,J16,K16)</f>
        <v>1</v>
      </c>
      <c r="O16" s="10">
        <f t="shared" ref="O16:O20" si="10">SUM(H16)/SUM(H16,J16)</f>
        <v>1</v>
      </c>
      <c r="P16" s="10">
        <f t="shared" ref="P16:P20" si="11">SUM(H16)/SUM(H16,K16)</f>
        <v>1</v>
      </c>
      <c r="Q16" s="10">
        <f t="shared" ref="Q16:Q20" si="12">2*O16*P16/(O16+P16)</f>
        <v>1</v>
      </c>
      <c r="S16" s="11">
        <v>2696</v>
      </c>
      <c r="T16" s="11">
        <v>392</v>
      </c>
      <c r="W16" s="10">
        <v>0.71060000000000001</v>
      </c>
      <c r="X16" s="10">
        <v>0.61</v>
      </c>
      <c r="Y16" s="10">
        <v>0.6</v>
      </c>
      <c r="Z16" s="10">
        <v>0.6</v>
      </c>
    </row>
    <row r="17" spans="2:26" x14ac:dyDescent="0.25">
      <c r="B17" s="1" t="s">
        <v>5</v>
      </c>
      <c r="C17" s="1">
        <v>79</v>
      </c>
      <c r="D17" s="1">
        <v>511</v>
      </c>
      <c r="E17" s="1">
        <v>340</v>
      </c>
      <c r="F17" s="3">
        <v>0.66</v>
      </c>
      <c r="G17" s="2" t="s">
        <v>112</v>
      </c>
      <c r="H17" s="11">
        <v>225</v>
      </c>
      <c r="I17" s="12">
        <f>445-SUM(H17,J17:K17)</f>
        <v>220</v>
      </c>
      <c r="J17" s="11">
        <v>0</v>
      </c>
      <c r="K17" s="11">
        <v>0</v>
      </c>
      <c r="L17" s="10">
        <f t="shared" si="0"/>
        <v>0.5056179775280899</v>
      </c>
      <c r="N17" s="10">
        <f t="shared" si="9"/>
        <v>1</v>
      </c>
      <c r="O17" s="10">
        <f t="shared" si="10"/>
        <v>1</v>
      </c>
      <c r="P17" s="10">
        <f t="shared" si="11"/>
        <v>1</v>
      </c>
      <c r="Q17" s="10">
        <f t="shared" si="12"/>
        <v>1</v>
      </c>
      <c r="S17" s="11">
        <v>2778</v>
      </c>
      <c r="T17" s="11">
        <v>220</v>
      </c>
      <c r="W17" s="10">
        <v>0.65169999999999995</v>
      </c>
      <c r="X17" s="10">
        <v>0.61</v>
      </c>
      <c r="Y17" s="10">
        <v>0.83</v>
      </c>
      <c r="Z17" s="10">
        <v>0.7</v>
      </c>
    </row>
    <row r="18" spans="2:26" x14ac:dyDescent="0.25">
      <c r="B18" s="1" t="s">
        <v>6</v>
      </c>
      <c r="C18" s="1">
        <v>142</v>
      </c>
      <c r="D18" s="1">
        <v>456</v>
      </c>
      <c r="E18" s="1">
        <v>348</v>
      </c>
      <c r="F18" s="3">
        <v>0.76</v>
      </c>
      <c r="G18" s="2" t="s">
        <v>113</v>
      </c>
      <c r="H18" s="11">
        <v>360</v>
      </c>
      <c r="I18" s="12">
        <f>757-SUM(H18,J18:K18)</f>
        <v>397</v>
      </c>
      <c r="J18" s="11">
        <v>0</v>
      </c>
      <c r="K18" s="11">
        <v>0</v>
      </c>
      <c r="L18" s="10">
        <f t="shared" si="0"/>
        <v>0.47556142668428003</v>
      </c>
      <c r="N18" s="10">
        <f t="shared" si="9"/>
        <v>1</v>
      </c>
      <c r="O18" s="10">
        <f t="shared" si="10"/>
        <v>1</v>
      </c>
      <c r="P18" s="10">
        <f t="shared" si="11"/>
        <v>1</v>
      </c>
      <c r="Q18" s="10">
        <f t="shared" si="12"/>
        <v>1</v>
      </c>
      <c r="S18" s="11">
        <v>6661</v>
      </c>
      <c r="T18" s="11">
        <v>397</v>
      </c>
      <c r="W18" s="10">
        <v>0.55610000000000004</v>
      </c>
      <c r="X18" s="10">
        <v>0.52</v>
      </c>
      <c r="Y18" s="10">
        <v>0.99</v>
      </c>
      <c r="Z18" s="10">
        <v>0.68</v>
      </c>
    </row>
    <row r="19" spans="2:26" x14ac:dyDescent="0.25">
      <c r="B19" s="1" t="s">
        <v>7</v>
      </c>
      <c r="C19" s="1">
        <v>250</v>
      </c>
      <c r="D19" s="1">
        <v>1286</v>
      </c>
      <c r="E19" s="1">
        <v>648</v>
      </c>
      <c r="F19" s="3">
        <v>0.5</v>
      </c>
      <c r="G19" s="2" t="s">
        <v>114</v>
      </c>
      <c r="H19" s="11">
        <v>713</v>
      </c>
      <c r="I19" s="12">
        <f>2007-SUM(H19,J19:K19)</f>
        <v>1294</v>
      </c>
      <c r="J19" s="11">
        <v>0</v>
      </c>
      <c r="K19" s="11">
        <v>0</v>
      </c>
      <c r="L19" s="10">
        <f t="shared" si="0"/>
        <v>0.35525660189337321</v>
      </c>
      <c r="N19" s="10">
        <f t="shared" si="9"/>
        <v>1</v>
      </c>
      <c r="O19" s="10">
        <f t="shared" si="10"/>
        <v>1</v>
      </c>
      <c r="P19" s="10">
        <f t="shared" si="11"/>
        <v>1</v>
      </c>
      <c r="Q19" s="10">
        <f t="shared" si="12"/>
        <v>1</v>
      </c>
      <c r="S19" s="11">
        <v>25165</v>
      </c>
      <c r="T19" s="11">
        <v>1294</v>
      </c>
      <c r="W19" s="10">
        <v>0.64419999999999999</v>
      </c>
      <c r="X19" s="10">
        <v>0.5</v>
      </c>
      <c r="Y19" s="10">
        <v>0.65</v>
      </c>
      <c r="Z19" s="10">
        <v>0.56999999999999995</v>
      </c>
    </row>
    <row r="20" spans="2:26" x14ac:dyDescent="0.25">
      <c r="B20" s="1" t="s">
        <v>8</v>
      </c>
      <c r="C20" s="1">
        <v>103</v>
      </c>
      <c r="D20" s="1">
        <v>686</v>
      </c>
      <c r="E20" s="1">
        <v>243</v>
      </c>
      <c r="F20" s="3">
        <v>0.35</v>
      </c>
      <c r="G20" s="2" t="s">
        <v>115</v>
      </c>
      <c r="H20" s="11">
        <v>621</v>
      </c>
      <c r="I20" s="12">
        <f>1225-SUM(H20,J20:K20)</f>
        <v>604</v>
      </c>
      <c r="J20" s="11">
        <v>0</v>
      </c>
      <c r="K20" s="11">
        <v>0</v>
      </c>
      <c r="L20" s="10">
        <f t="shared" si="0"/>
        <v>0.50693877551020405</v>
      </c>
      <c r="N20" s="10">
        <f t="shared" si="9"/>
        <v>1</v>
      </c>
      <c r="O20" s="10">
        <f t="shared" si="10"/>
        <v>1</v>
      </c>
      <c r="P20" s="10">
        <f t="shared" si="11"/>
        <v>1</v>
      </c>
      <c r="Q20" s="10">
        <f t="shared" si="12"/>
        <v>1</v>
      </c>
      <c r="S20" s="11">
        <v>19882</v>
      </c>
      <c r="T20" s="11">
        <v>604</v>
      </c>
      <c r="W20" s="10">
        <v>0.66290000000000004</v>
      </c>
      <c r="X20" s="10">
        <v>0.63</v>
      </c>
      <c r="Y20" s="10">
        <v>0.81</v>
      </c>
      <c r="Z20" s="10">
        <v>0.71</v>
      </c>
    </row>
    <row r="21" spans="2:26" x14ac:dyDescent="0.25">
      <c r="F21" s="3"/>
      <c r="H21" s="11"/>
      <c r="I21" s="11"/>
      <c r="J21" s="11"/>
      <c r="K21" s="11"/>
      <c r="L21" s="10"/>
      <c r="N21" s="10"/>
      <c r="O21" s="10"/>
      <c r="P21" s="10"/>
      <c r="Q21" s="10"/>
      <c r="S21" s="11"/>
      <c r="T21" s="11"/>
      <c r="W21" s="10"/>
      <c r="X21" s="10"/>
      <c r="Y21" s="10"/>
      <c r="Z21" s="10"/>
    </row>
    <row r="22" spans="2:26" x14ac:dyDescent="0.25">
      <c r="F22" s="3"/>
      <c r="G22" s="2" t="s">
        <v>124</v>
      </c>
      <c r="H22" s="11"/>
      <c r="I22" s="11"/>
      <c r="J22" s="11"/>
      <c r="K22" s="11"/>
      <c r="L22" s="10"/>
      <c r="N22" s="10"/>
      <c r="O22" s="10"/>
      <c r="P22" s="10"/>
      <c r="Q22" s="10"/>
      <c r="S22" s="11"/>
      <c r="T22" s="11"/>
      <c r="W22" s="10">
        <v>0.48</v>
      </c>
      <c r="X22" s="10">
        <v>0.42</v>
      </c>
      <c r="Y22" s="10">
        <v>0.97</v>
      </c>
      <c r="Z22" s="10">
        <f t="shared" ref="Z22:Z26" si="13">2*X22*Y22/(X22+Y22)</f>
        <v>0.5861870503597123</v>
      </c>
    </row>
    <row r="23" spans="2:26" x14ac:dyDescent="0.25">
      <c r="F23" s="3"/>
      <c r="G23" s="2" t="s">
        <v>125</v>
      </c>
      <c r="H23" s="11"/>
      <c r="I23" s="11"/>
      <c r="J23" s="11"/>
      <c r="K23" s="11"/>
      <c r="L23" s="10"/>
      <c r="N23" s="10"/>
      <c r="O23" s="10"/>
      <c r="P23" s="10"/>
      <c r="Q23" s="10"/>
      <c r="S23" s="11"/>
      <c r="T23" s="11"/>
      <c r="W23" s="10">
        <v>0.62</v>
      </c>
      <c r="X23" s="10">
        <v>0.6</v>
      </c>
      <c r="Y23" s="10">
        <v>0.87</v>
      </c>
      <c r="Z23" s="10">
        <f t="shared" si="13"/>
        <v>0.71020408163265314</v>
      </c>
    </row>
    <row r="24" spans="2:26" x14ac:dyDescent="0.25">
      <c r="F24" s="3"/>
      <c r="G24" s="2" t="s">
        <v>126</v>
      </c>
      <c r="H24" s="11"/>
      <c r="I24" s="11"/>
      <c r="J24" s="11"/>
      <c r="K24" s="11"/>
      <c r="L24" s="10"/>
      <c r="N24" s="10"/>
      <c r="O24" s="10"/>
      <c r="P24" s="10"/>
      <c r="Q24" s="10"/>
      <c r="S24" s="11"/>
      <c r="T24" s="11"/>
      <c r="W24" s="10">
        <v>0.71</v>
      </c>
      <c r="X24" s="10">
        <v>0.68</v>
      </c>
      <c r="Y24" s="10">
        <v>0.93</v>
      </c>
      <c r="Z24" s="10">
        <f t="shared" si="13"/>
        <v>0.78559006211180127</v>
      </c>
    </row>
    <row r="25" spans="2:26" x14ac:dyDescent="0.25">
      <c r="F25" s="3"/>
      <c r="G25" s="2" t="s">
        <v>127</v>
      </c>
      <c r="H25" s="11"/>
      <c r="I25" s="11"/>
      <c r="J25" s="11"/>
      <c r="K25" s="11"/>
      <c r="L25" s="10"/>
      <c r="N25" s="10"/>
      <c r="O25" s="10"/>
      <c r="P25" s="10"/>
      <c r="Q25" s="10"/>
      <c r="S25" s="11"/>
      <c r="T25" s="11"/>
      <c r="W25" s="10">
        <v>0.68</v>
      </c>
      <c r="X25" s="10">
        <v>0.61</v>
      </c>
      <c r="Y25" s="10">
        <v>0.94</v>
      </c>
      <c r="Z25" s="10">
        <f t="shared" si="13"/>
        <v>0.7398709677419355</v>
      </c>
    </row>
    <row r="26" spans="2:26" x14ac:dyDescent="0.25">
      <c r="F26" s="3"/>
      <c r="G26" s="2" t="s">
        <v>128</v>
      </c>
      <c r="H26" s="11"/>
      <c r="I26" s="11"/>
      <c r="J26" s="11"/>
      <c r="K26" s="11"/>
      <c r="L26" s="10"/>
      <c r="N26" s="10"/>
      <c r="O26" s="10"/>
      <c r="P26" s="10"/>
      <c r="Q26" s="10"/>
      <c r="S26" s="11"/>
      <c r="T26" s="11"/>
      <c r="W26" s="10">
        <v>0.73</v>
      </c>
      <c r="X26" s="10">
        <v>0.7</v>
      </c>
      <c r="Y26" s="10">
        <v>0.92</v>
      </c>
      <c r="Z26" s="10">
        <f t="shared" si="13"/>
        <v>0.79506172839506173</v>
      </c>
    </row>
    <row r="27" spans="2:26" x14ac:dyDescent="0.25">
      <c r="B27" s="1" t="s">
        <v>9</v>
      </c>
      <c r="C27" s="1">
        <v>21</v>
      </c>
      <c r="D27" s="1">
        <v>110</v>
      </c>
      <c r="E27" s="1">
        <v>51</v>
      </c>
      <c r="F27" s="3">
        <v>0.46</v>
      </c>
      <c r="H27" s="11"/>
      <c r="I27" s="11"/>
      <c r="J27" s="11"/>
      <c r="K27" s="11"/>
      <c r="W27" s="10"/>
      <c r="X27" s="10"/>
      <c r="Y27" s="10"/>
      <c r="Z27" s="10"/>
    </row>
    <row r="28" spans="2:26" s="13" customFormat="1" x14ac:dyDescent="0.25">
      <c r="B28" s="13" t="s">
        <v>22</v>
      </c>
      <c r="C28" s="13">
        <f>MIN(C17:C27)</f>
        <v>21</v>
      </c>
      <c r="D28" s="13">
        <f>MIN(D17:D27)</f>
        <v>110</v>
      </c>
      <c r="E28" s="13">
        <f>MIN(E17:E27)</f>
        <v>51</v>
      </c>
      <c r="G28" s="13" t="s">
        <v>129</v>
      </c>
      <c r="H28" s="15">
        <f>SUM(H4:H21)-H11</f>
        <v>4303</v>
      </c>
      <c r="I28" s="15">
        <f>SUM(I4:I21)-I11</f>
        <v>6512</v>
      </c>
      <c r="J28" s="15">
        <f>SUM(J4:J21)-J11</f>
        <v>111</v>
      </c>
      <c r="K28" s="15">
        <f>SUM(K4:K21)-K11</f>
        <v>803</v>
      </c>
      <c r="N28" s="16">
        <f>SUM(H28,I28)/SUM(H28,I28,J28,K28)</f>
        <v>0.92207349305141106</v>
      </c>
      <c r="O28" s="16">
        <f>SUM(H28)/SUM(H28,J28)</f>
        <v>0.97485274127775257</v>
      </c>
      <c r="P28" s="16">
        <f>SUM(H28)/SUM(H28,K28)</f>
        <v>0.8427340383862123</v>
      </c>
      <c r="Q28" s="16">
        <f>2*O28*P28/(O28+P28)</f>
        <v>0.90399159663865547</v>
      </c>
      <c r="W28" s="18">
        <f>AVERAGE(W4:W21)</f>
        <v>0.65335714285714286</v>
      </c>
      <c r="X28" s="18">
        <f>AVERAGE(X4:X21)</f>
        <v>0.59142857142857153</v>
      </c>
      <c r="Y28" s="18">
        <f>AVERAGE(Y4:Y21)</f>
        <v>0.84785714285714298</v>
      </c>
      <c r="Z28" s="18">
        <f>AVERAGE(Z4:Z21)</f>
        <v>0.68714285714285717</v>
      </c>
    </row>
    <row r="29" spans="2:26" s="13" customFormat="1" x14ac:dyDescent="0.25">
      <c r="G29" s="13" t="s">
        <v>122</v>
      </c>
      <c r="H29" s="15"/>
      <c r="I29" s="15"/>
      <c r="J29" s="15"/>
      <c r="K29" s="15"/>
      <c r="L29" s="17">
        <f>MIN(L4:L21)</f>
        <v>0.28899533284205353</v>
      </c>
      <c r="N29" s="17">
        <f>MIN(N4:N21)</f>
        <v>0.796875</v>
      </c>
      <c r="O29" s="17">
        <f>MIN(O4:O21)</f>
        <v>0.72489217498459646</v>
      </c>
      <c r="P29" s="17">
        <f>MIN(P4:P21)</f>
        <v>0.56692913385826771</v>
      </c>
      <c r="Q29" s="17">
        <f>MIN(Q4:Q21)</f>
        <v>0.68899521531100472</v>
      </c>
      <c r="W29" s="17">
        <f>MIN(W4:W21)</f>
        <v>0.3342</v>
      </c>
      <c r="X29" s="17">
        <f>MIN(X4:X21)</f>
        <v>0.33</v>
      </c>
      <c r="Y29" s="17">
        <f>MIN(Y4:Y21)</f>
        <v>0.6</v>
      </c>
      <c r="Z29" s="17">
        <f>MIN(Z4:Z21)</f>
        <v>0.5</v>
      </c>
    </row>
    <row r="30" spans="2:26" s="13" customFormat="1" x14ac:dyDescent="0.25">
      <c r="G30" s="13" t="s">
        <v>123</v>
      </c>
      <c r="H30" s="15"/>
      <c r="I30" s="15"/>
      <c r="J30" s="15"/>
      <c r="K30" s="15"/>
      <c r="L30" s="17">
        <f>MAX(L4:L21)</f>
        <v>0.76973684210526316</v>
      </c>
      <c r="N30" s="17">
        <f>MAX(N4:N21)</f>
        <v>1</v>
      </c>
      <c r="O30" s="17">
        <f>MAX(O4:O21)</f>
        <v>1</v>
      </c>
      <c r="P30" s="17">
        <f>MAX(P4:P21)</f>
        <v>1</v>
      </c>
      <c r="Q30" s="17">
        <f>MAX(Q4:Q21)</f>
        <v>1</v>
      </c>
      <c r="W30" s="17">
        <f>MAX(W4:W21)</f>
        <v>0.76319999999999999</v>
      </c>
      <c r="X30" s="17">
        <f>MAX(X4:X21)</f>
        <v>0.76</v>
      </c>
      <c r="Y30" s="17">
        <f>MAX(Y4:Y21)</f>
        <v>1</v>
      </c>
      <c r="Z30" s="17">
        <f>MAX(Z4:Z21)</f>
        <v>0.87</v>
      </c>
    </row>
    <row r="31" spans="2:26" x14ac:dyDescent="0.25">
      <c r="B31" s="4" t="s">
        <v>23</v>
      </c>
      <c r="C31" s="4">
        <f>MAX(C17:C28)</f>
        <v>250</v>
      </c>
      <c r="D31" s="4">
        <f>MAX(D17:D28)</f>
        <v>1286</v>
      </c>
      <c r="E31" s="4">
        <f>MAX(E17:E28)</f>
        <v>648</v>
      </c>
    </row>
    <row r="32" spans="2:26" x14ac:dyDescent="0.25">
      <c r="B32" s="4"/>
      <c r="C32" s="4"/>
      <c r="D32" s="4"/>
      <c r="E32" s="4"/>
    </row>
    <row r="33" spans="2:26" s="13" customFormat="1" x14ac:dyDescent="0.25">
      <c r="B33" s="13" t="s">
        <v>22</v>
      </c>
      <c r="C33" s="13">
        <f>MIN(C21:C31)</f>
        <v>21</v>
      </c>
      <c r="D33" s="13">
        <f>MIN(D21:D31)</f>
        <v>110</v>
      </c>
      <c r="E33" s="13">
        <f>MIN(E21:E31)</f>
        <v>51</v>
      </c>
      <c r="G33" s="13" t="s">
        <v>130</v>
      </c>
      <c r="H33" s="15">
        <f>SUM(H4:H27)-H11</f>
        <v>4303</v>
      </c>
      <c r="I33" s="15">
        <f>SUM(I4:I27)-I11</f>
        <v>6512</v>
      </c>
      <c r="J33" s="15">
        <f>SUM(J4:J27)-J11</f>
        <v>111</v>
      </c>
      <c r="K33" s="15">
        <f>SUM(K4:K27)-K11</f>
        <v>803</v>
      </c>
      <c r="N33" s="16">
        <f>SUM(H33,I33)/SUM(H33,I33,J33,K33)</f>
        <v>0.92207349305141106</v>
      </c>
      <c r="O33" s="16">
        <f>SUM(H33)/SUM(H33,J33)</f>
        <v>0.97485274127775257</v>
      </c>
      <c r="P33" s="16">
        <f>SUM(H33)/SUM(H33,K33)</f>
        <v>0.8427340383862123</v>
      </c>
      <c r="Q33" s="16">
        <f>2*O33*P33/(O33+P33)</f>
        <v>0.90399159663865547</v>
      </c>
      <c r="W33" s="18">
        <f>AVERAGE(W4:W27)</f>
        <v>0.6508947368421053</v>
      </c>
      <c r="X33" s="18">
        <f>AVERAGE(X4:X27)</f>
        <v>0.59421052631578941</v>
      </c>
      <c r="Y33" s="18">
        <f>AVERAGE(Y4:Y27)</f>
        <v>0.86842105263157898</v>
      </c>
      <c r="Z33" s="18">
        <f>AVERAGE(Z4:Z27)</f>
        <v>0.69667967843374556</v>
      </c>
    </row>
    <row r="34" spans="2:26" s="13" customFormat="1" x14ac:dyDescent="0.25">
      <c r="G34" s="13" t="s">
        <v>122</v>
      </c>
      <c r="H34" s="15"/>
      <c r="I34" s="15"/>
      <c r="J34" s="15"/>
      <c r="K34" s="15"/>
      <c r="N34" s="17">
        <f>MIN(N4:N27)</f>
        <v>0.796875</v>
      </c>
      <c r="O34" s="17">
        <f>MIN(O4:O27)</f>
        <v>0.72489217498459646</v>
      </c>
      <c r="P34" s="17">
        <f>MIN(P4:P27)</f>
        <v>0.56692913385826771</v>
      </c>
      <c r="Q34" s="17">
        <f>MIN(Q4:Q27)</f>
        <v>0.68899521531100472</v>
      </c>
      <c r="W34" s="17">
        <f>MIN(W4:W27)</f>
        <v>0.3342</v>
      </c>
      <c r="X34" s="17">
        <f>MIN(X4:X27)</f>
        <v>0.33</v>
      </c>
      <c r="Y34" s="17">
        <f>MIN(Y4:Y27)</f>
        <v>0.6</v>
      </c>
      <c r="Z34" s="17">
        <f>MIN(Z4:Z27)</f>
        <v>0.5</v>
      </c>
    </row>
    <row r="35" spans="2:26" s="13" customFormat="1" x14ac:dyDescent="0.25">
      <c r="G35" s="13" t="s">
        <v>123</v>
      </c>
      <c r="H35" s="15"/>
      <c r="I35" s="15"/>
      <c r="J35" s="15"/>
      <c r="K35" s="15"/>
      <c r="N35" s="17">
        <f>MAX(N4:N27)</f>
        <v>1</v>
      </c>
      <c r="O35" s="17">
        <f>MAX(O4:O27)</f>
        <v>1</v>
      </c>
      <c r="P35" s="17">
        <f>MAX(P4:P27)</f>
        <v>1</v>
      </c>
      <c r="Q35" s="17">
        <f>MAX(Q4:Q27)</f>
        <v>1</v>
      </c>
      <c r="W35" s="17">
        <f>MAX(W4:W27)</f>
        <v>0.76319999999999999</v>
      </c>
      <c r="X35" s="17">
        <f>MAX(X4:X27)</f>
        <v>0.76</v>
      </c>
      <c r="Y35" s="17">
        <f>MAX(Y4:Y27)</f>
        <v>1</v>
      </c>
      <c r="Z35" s="17">
        <f>MAX(Z4:Z27)</f>
        <v>0.87</v>
      </c>
    </row>
    <row r="37" spans="2:26" x14ac:dyDescent="0.25">
      <c r="H37" s="1" t="s">
        <v>81</v>
      </c>
    </row>
    <row r="38" spans="2:26" x14ac:dyDescent="0.25">
      <c r="H38" s="1" t="s">
        <v>30</v>
      </c>
    </row>
    <row r="39" spans="2:26" x14ac:dyDescent="0.25">
      <c r="H39" s="1" t="s">
        <v>82</v>
      </c>
    </row>
    <row r="40" spans="2:26" x14ac:dyDescent="0.25">
      <c r="H40" s="1" t="s">
        <v>31</v>
      </c>
    </row>
    <row r="42" spans="2:26" x14ac:dyDescent="0.25">
      <c r="H42" s="1" t="s">
        <v>83</v>
      </c>
    </row>
    <row r="43" spans="2:26" x14ac:dyDescent="0.25">
      <c r="H43" s="1" t="s">
        <v>84</v>
      </c>
    </row>
    <row r="44" spans="2:26" x14ac:dyDescent="0.25">
      <c r="H44" s="1" t="s">
        <v>28</v>
      </c>
    </row>
    <row r="45" spans="2:26" x14ac:dyDescent="0.25">
      <c r="H45" s="1" t="s">
        <v>29</v>
      </c>
    </row>
    <row r="48" spans="2:26" ht="19.5" x14ac:dyDescent="0.25">
      <c r="G48" s="7" t="s">
        <v>85</v>
      </c>
    </row>
    <row r="49" spans="7:7" x14ac:dyDescent="0.25">
      <c r="G49" s="5" t="s">
        <v>86</v>
      </c>
    </row>
    <row r="50" spans="7:7" x14ac:dyDescent="0.25">
      <c r="G50" s="5" t="s">
        <v>87</v>
      </c>
    </row>
    <row r="51" spans="7:7" x14ac:dyDescent="0.25">
      <c r="G51" s="5" t="s">
        <v>88</v>
      </c>
    </row>
    <row r="52" spans="7:7" ht="19.5" x14ac:dyDescent="0.25">
      <c r="G52" s="7" t="s">
        <v>89</v>
      </c>
    </row>
    <row r="53" spans="7:7" x14ac:dyDescent="0.25">
      <c r="G53" s="5" t="s">
        <v>90</v>
      </c>
    </row>
    <row r="54" spans="7:7" x14ac:dyDescent="0.25">
      <c r="G54" s="5" t="s">
        <v>91</v>
      </c>
    </row>
    <row r="55" spans="7:7" x14ac:dyDescent="0.25">
      <c r="G55" s="5" t="s">
        <v>92</v>
      </c>
    </row>
    <row r="56" spans="7:7" ht="19.5" x14ac:dyDescent="0.25">
      <c r="G56" s="7" t="s">
        <v>93</v>
      </c>
    </row>
    <row r="57" spans="7:7" x14ac:dyDescent="0.25">
      <c r="G57" s="5" t="s">
        <v>94</v>
      </c>
    </row>
    <row r="58" spans="7:7" x14ac:dyDescent="0.25">
      <c r="G58" s="5" t="s">
        <v>95</v>
      </c>
    </row>
    <row r="59" spans="7:7" x14ac:dyDescent="0.25">
      <c r="G59" s="6" t="s">
        <v>96</v>
      </c>
    </row>
    <row r="60" spans="7:7" ht="19.5" x14ac:dyDescent="0.25">
      <c r="G60" s="8" t="s">
        <v>97</v>
      </c>
    </row>
    <row r="61" spans="7:7" x14ac:dyDescent="0.25">
      <c r="G61" s="5" t="s">
        <v>98</v>
      </c>
    </row>
    <row r="62" spans="7:7" x14ac:dyDescent="0.25">
      <c r="G62" s="5" t="s">
        <v>99</v>
      </c>
    </row>
    <row r="63" spans="7:7" ht="15.75" x14ac:dyDescent="0.25">
      <c r="G63" s="9" t="s">
        <v>100</v>
      </c>
    </row>
  </sheetData>
  <phoneticPr fontId="11" type="noConversion"/>
  <hyperlinks>
    <hyperlink ref="G59" r:id="rId1" display="https://www.flowhunt.io/de/glossar/recall-in-machine-learning/" xr:uid="{C92A9A3F-8524-48F2-8B05-51CFF4AAC621}"/>
    <hyperlink ref="G60" r:id="rId2" display="https://www.flowhunt.io/de/glossar/f1-score/" xr:uid="{57477C1E-D82F-40DC-8E60-AB20F70BAF74}"/>
    <hyperlink ref="G63" r:id="rId3" display="https://digitale-transformation-weiterbildung.ch/digitalisierung-lexikon/precision-recall-tradeoff/" xr:uid="{AC4E95F7-BB22-419E-9832-EBF351F12CA5}"/>
  </hyperlinks>
  <pageMargins left="0.7" right="0.7" top="0.75" bottom="0.75" header="0.3" footer="0.3"/>
  <pageSetup paperSize="9" orientation="portrait" horizontalDpi="300" verticalDpi="3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35604-D7EC-4741-9054-CF5F88CE1540}">
  <dimension ref="B1:C57"/>
  <sheetViews>
    <sheetView workbookViewId="0">
      <selection activeCell="G29" sqref="G29"/>
    </sheetView>
  </sheetViews>
  <sheetFormatPr baseColWidth="10" defaultRowHeight="15" x14ac:dyDescent="0.25"/>
  <sheetData>
    <row r="1" spans="2:3" x14ac:dyDescent="0.25">
      <c r="B1" t="s">
        <v>80</v>
      </c>
    </row>
    <row r="2" spans="2:3" x14ac:dyDescent="0.25">
      <c r="B2" t="s">
        <v>32</v>
      </c>
    </row>
    <row r="3" spans="2:3" x14ac:dyDescent="0.25">
      <c r="C3" t="s">
        <v>33</v>
      </c>
    </row>
    <row r="4" spans="2:3" x14ac:dyDescent="0.25">
      <c r="C4" t="s">
        <v>34</v>
      </c>
    </row>
    <row r="5" spans="2:3" x14ac:dyDescent="0.25">
      <c r="C5" t="s">
        <v>35</v>
      </c>
    </row>
    <row r="6" spans="2:3" x14ac:dyDescent="0.25">
      <c r="C6" t="s">
        <v>36</v>
      </c>
    </row>
    <row r="7" spans="2:3" x14ac:dyDescent="0.25">
      <c r="C7" t="s">
        <v>37</v>
      </c>
    </row>
    <row r="8" spans="2:3" x14ac:dyDescent="0.25">
      <c r="C8" t="s">
        <v>38</v>
      </c>
    </row>
    <row r="9" spans="2:3" x14ac:dyDescent="0.25">
      <c r="C9" t="s">
        <v>39</v>
      </c>
    </row>
    <row r="10" spans="2:3" x14ac:dyDescent="0.25">
      <c r="C10" t="s">
        <v>40</v>
      </c>
    </row>
    <row r="11" spans="2:3" x14ac:dyDescent="0.25">
      <c r="C11" t="s">
        <v>41</v>
      </c>
    </row>
    <row r="12" spans="2:3" x14ac:dyDescent="0.25">
      <c r="C12" t="s">
        <v>42</v>
      </c>
    </row>
    <row r="13" spans="2:3" x14ac:dyDescent="0.25">
      <c r="C13" t="s">
        <v>43</v>
      </c>
    </row>
    <row r="14" spans="2:3" x14ac:dyDescent="0.25">
      <c r="B14" t="s">
        <v>10</v>
      </c>
    </row>
    <row r="15" spans="2:3" x14ac:dyDescent="0.25">
      <c r="B15" t="s">
        <v>44</v>
      </c>
    </row>
    <row r="16" spans="2:3" x14ac:dyDescent="0.25">
      <c r="B16" t="s">
        <v>45</v>
      </c>
    </row>
    <row r="17" spans="2:2" x14ac:dyDescent="0.25">
      <c r="B17" t="s">
        <v>46</v>
      </c>
    </row>
    <row r="18" spans="2:2" x14ac:dyDescent="0.25">
      <c r="B18" t="s">
        <v>47</v>
      </c>
    </row>
    <row r="19" spans="2:2" x14ac:dyDescent="0.25">
      <c r="B19" t="s">
        <v>48</v>
      </c>
    </row>
    <row r="20" spans="2:2" x14ac:dyDescent="0.25">
      <c r="B20" t="s">
        <v>49</v>
      </c>
    </row>
    <row r="21" spans="2:2" x14ac:dyDescent="0.25">
      <c r="B21" t="s">
        <v>11</v>
      </c>
    </row>
    <row r="22" spans="2:2" x14ac:dyDescent="0.25">
      <c r="B22" t="s">
        <v>50</v>
      </c>
    </row>
    <row r="23" spans="2:2" x14ac:dyDescent="0.25">
      <c r="B23" t="s">
        <v>51</v>
      </c>
    </row>
    <row r="24" spans="2:2" x14ac:dyDescent="0.25">
      <c r="B24" t="s">
        <v>52</v>
      </c>
    </row>
    <row r="25" spans="2:2" x14ac:dyDescent="0.25">
      <c r="B25" t="s">
        <v>53</v>
      </c>
    </row>
    <row r="26" spans="2:2" x14ac:dyDescent="0.25">
      <c r="B26" t="s">
        <v>54</v>
      </c>
    </row>
    <row r="27" spans="2:2" x14ac:dyDescent="0.25">
      <c r="B27" t="s">
        <v>55</v>
      </c>
    </row>
    <row r="28" spans="2:2" x14ac:dyDescent="0.25">
      <c r="B28" t="s">
        <v>12</v>
      </c>
    </row>
    <row r="29" spans="2:2" x14ac:dyDescent="0.25">
      <c r="B29" t="s">
        <v>56</v>
      </c>
    </row>
    <row r="30" spans="2:2" x14ac:dyDescent="0.25">
      <c r="B30" t="s">
        <v>57</v>
      </c>
    </row>
    <row r="31" spans="2:2" x14ac:dyDescent="0.25">
      <c r="B31" t="s">
        <v>58</v>
      </c>
    </row>
    <row r="32" spans="2:2" x14ac:dyDescent="0.25">
      <c r="B32" t="s">
        <v>59</v>
      </c>
    </row>
    <row r="33" spans="2:2" x14ac:dyDescent="0.25">
      <c r="B33" t="s">
        <v>60</v>
      </c>
    </row>
    <row r="34" spans="2:2" x14ac:dyDescent="0.25">
      <c r="B34" t="s">
        <v>61</v>
      </c>
    </row>
    <row r="35" spans="2:2" x14ac:dyDescent="0.25">
      <c r="B35" t="s">
        <v>13</v>
      </c>
    </row>
    <row r="36" spans="2:2" x14ac:dyDescent="0.25">
      <c r="B36" t="s">
        <v>62</v>
      </c>
    </row>
    <row r="37" spans="2:2" x14ac:dyDescent="0.25">
      <c r="B37" t="s">
        <v>63</v>
      </c>
    </row>
    <row r="38" spans="2:2" x14ac:dyDescent="0.25">
      <c r="B38" t="s">
        <v>64</v>
      </c>
    </row>
    <row r="39" spans="2:2" x14ac:dyDescent="0.25">
      <c r="B39" t="s">
        <v>65</v>
      </c>
    </row>
    <row r="40" spans="2:2" x14ac:dyDescent="0.25">
      <c r="B40" t="s">
        <v>66</v>
      </c>
    </row>
    <row r="41" spans="2:2" x14ac:dyDescent="0.25">
      <c r="B41" t="s">
        <v>67</v>
      </c>
    </row>
    <row r="42" spans="2:2" x14ac:dyDescent="0.25">
      <c r="B42" t="s">
        <v>14</v>
      </c>
    </row>
    <row r="43" spans="2:2" x14ac:dyDescent="0.25">
      <c r="B43" t="s">
        <v>68</v>
      </c>
    </row>
    <row r="44" spans="2:2" x14ac:dyDescent="0.25">
      <c r="B44" t="s">
        <v>69</v>
      </c>
    </row>
    <row r="45" spans="2:2" x14ac:dyDescent="0.25">
      <c r="B45" t="s">
        <v>70</v>
      </c>
    </row>
    <row r="46" spans="2:2" x14ac:dyDescent="0.25">
      <c r="B46" t="s">
        <v>71</v>
      </c>
    </row>
    <row r="47" spans="2:2" x14ac:dyDescent="0.25">
      <c r="B47" t="s">
        <v>72</v>
      </c>
    </row>
    <row r="48" spans="2:2" x14ac:dyDescent="0.25">
      <c r="B48" t="s">
        <v>73</v>
      </c>
    </row>
    <row r="49" spans="2:2" x14ac:dyDescent="0.25">
      <c r="B49" t="s">
        <v>15</v>
      </c>
    </row>
    <row r="50" spans="2:2" x14ac:dyDescent="0.25">
      <c r="B50" t="s">
        <v>16</v>
      </c>
    </row>
    <row r="51" spans="2:2" x14ac:dyDescent="0.25">
      <c r="B51" t="s">
        <v>74</v>
      </c>
    </row>
    <row r="52" spans="2:2" x14ac:dyDescent="0.25">
      <c r="B52" t="s">
        <v>75</v>
      </c>
    </row>
    <row r="53" spans="2:2" x14ac:dyDescent="0.25">
      <c r="B53" t="s">
        <v>76</v>
      </c>
    </row>
    <row r="54" spans="2:2" x14ac:dyDescent="0.25">
      <c r="B54" t="s">
        <v>77</v>
      </c>
    </row>
    <row r="55" spans="2:2" x14ac:dyDescent="0.25">
      <c r="B55" t="s">
        <v>78</v>
      </c>
    </row>
    <row r="56" spans="2:2" x14ac:dyDescent="0.25">
      <c r="B56" t="s">
        <v>79</v>
      </c>
    </row>
    <row r="57" spans="2:2" x14ac:dyDescent="0.25">
      <c r="B57" t="s">
        <v>15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RBC-Konvertierung</vt:lpstr>
      <vt:lpstr>Protokoll LOO-Training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Nabrotzky, Toni</dc:creator>
  <cp:lastModifiedBy>Toni Nabrotzky</cp:lastModifiedBy>
  <dcterms:created xsi:type="dcterms:W3CDTF">2015-06-05T18:19:34Z</dcterms:created>
  <dcterms:modified xsi:type="dcterms:W3CDTF">2026-07-26T14:22:48Z</dcterms:modified>
</cp:coreProperties>
</file>